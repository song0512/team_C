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lionking\Desktop\2021-4-2목대과제파일\2프로그래밍기초프로젝트\"/>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Schedule!$D$1:$AX$36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M5" i="2"/>
  <c r="AF6" i="2"/>
  <c r="AI6" i="2"/>
  <c r="AF7" i="2"/>
  <c r="AG8" i="2"/>
  <c r="AH9" i="2"/>
  <c r="AM9" i="2"/>
  <c r="AH10" i="2"/>
  <c r="AI11" i="2"/>
  <c r="AJ12" i="2"/>
  <c r="AK13" i="2"/>
  <c r="AL14" i="2"/>
  <c r="AL15" i="2"/>
  <c r="AL16" i="2"/>
  <c r="AI17" i="2"/>
  <c r="AI18" i="2"/>
  <c r="AI19" i="2"/>
  <c r="AI20" i="2"/>
  <c r="AJ21" i="2"/>
  <c r="AI22" i="2"/>
  <c r="AL22" i="2"/>
  <c r="AI23" i="2"/>
  <c r="AL23" i="2"/>
  <c r="AI24" i="2"/>
  <c r="AL24" i="2"/>
  <c r="AI25" i="2"/>
  <c r="AL25" i="2"/>
  <c r="AI26" i="2"/>
  <c r="AJ27" i="2"/>
  <c r="AJ28" i="2"/>
  <c r="AJ29" i="2"/>
  <c r="AK30" i="2"/>
  <c r="AK31" i="2"/>
  <c r="AK32" i="2"/>
  <c r="AI33" i="2"/>
  <c r="AL33" i="2"/>
  <c r="AI34" i="2"/>
  <c r="AI35" i="2"/>
  <c r="AJ36"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K51" i="4" l="1"/>
  <c r="L51" i="4" s="1"/>
  <c r="G53" i="4"/>
  <c r="L35" i="4"/>
  <c r="L43" i="4"/>
  <c r="I53" i="4"/>
  <c r="K53" i="4" s="1"/>
  <c r="J37" i="4"/>
  <c r="K49" i="4"/>
  <c r="L49" i="4" s="1"/>
  <c r="L37" i="4"/>
  <c r="K33" i="4"/>
  <c r="J41" i="4"/>
  <c r="K41" i="4"/>
  <c r="L33" i="4"/>
  <c r="L41" i="4"/>
  <c r="K30" i="4"/>
  <c r="L30" i="4" s="1"/>
  <c r="H53" i="4"/>
  <c r="J53" i="4" s="1"/>
  <c r="D1" i="2"/>
  <c r="AE2" i="2"/>
  <c r="AE1" i="2"/>
  <c r="L53" i="4" l="1"/>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<sst xmlns="http://schemas.openxmlformats.org/spreadsheetml/2006/main" count="3244" uniqueCount="1645">
  <si>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</si>
  <si>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</si>
  <si>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</si>
  <si>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</si>
  <si>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</si>
  <si>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</si>
  <si>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</si>
  <si>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</si>
  <si>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</si>
  <si>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</si>
  <si>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</si>
  <si>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</si>
  <si>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</si>
  <si>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</si>
  <si>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</si>
  <si>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</si>
  <si>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</si>
  <si>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</si>
  <si>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</si>
  <si>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</si>
  <si>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</si>
  <si>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</si>
  <si>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</si>
  <si>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</si>
  <si>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</si>
  <si>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</si>
  <si>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</si>
  <si>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</si>
  <si>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</si>
  <si>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</si>
  <si>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</si>
  <si>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</si>
  <si>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</si>
  <si>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</si>
  <si>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</si>
  <si>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</si>
  <si>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</si>
  <si>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</si>
  <si>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</si>
  <si>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</si>
  <si>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</si>
  <si>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</si>
  <si>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</si>
  <si>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</si>
  <si>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</si>
  <si>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</si>
  <si>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</si>
  <si>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</si>
  <si>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</si>
  <si>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</si>
  <si>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</si>
  <si>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</si>
  <si>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</si>
  <si>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</si>
  <si>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</si>
  <si>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</si>
  <si>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</si>
  <si>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</si>
  <si>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</si>
  <si>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</si>
  <si>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</si>
  <si>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</si>
  <si>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</si>
  <si>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</si>
  <si>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</si>
  <si>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</si>
  <si>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</si>
  <si>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</si>
  <si>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</si>
  <si>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</si>
  <si>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</si>
  <si>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</si>
  <si>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</si>
  <si>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</si>
  <si>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</si>
  <si>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</si>
  <si>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</si>
  <si>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</si>
  <si>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</si>
  <si>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</si>
  <si>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</si>
  <si>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</si>
  <si>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</si>
  <si>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</si>
  <si>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</si>
  <si>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</si>
  <si>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</si>
  <si>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</si>
  <si>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</si>
  <si>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</si>
  <si>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</si>
  <si>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</si>
  <si>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</si>
  <si>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</si>
  <si>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</si>
  <si>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</si>
  <si>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</si>
  <si>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</si>
  <si>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</si>
  <si>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</si>
  <si>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</si>
  <si>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</si>
  <si>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</si>
  <si>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</si>
  <si>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</si>
  <si>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</si>
  <si>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</si>
  <si>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</si>
  <si>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</si>
  <si>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</si>
  <si>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</si>
  <si>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</si>
  <si>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</si>
  <si>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</si>
  <si>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</si>
  <si>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</si>
  <si>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</si>
  <si>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</si>
  <si>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</si>
  <si>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</si>
  <si>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</si>
  <si>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</si>
  <si>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</si>
  <si>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</si>
  <si>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</si>
  <si>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</si>
  <si>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</si>
  <si>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</si>
  <si>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</si>
  <si>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</si>
  <si>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</si>
  <si>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</si>
  <si>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</si>
  <si>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</si>
  <si>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</si>
  <si>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</si>
  <si>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</si>
  <si>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</si>
  <si>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</si>
  <si>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</si>
  <si>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</si>
  <si>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</si>
  <si>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</si>
  <si>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</si>
  <si>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</si>
  <si>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</si>
  <si>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</si>
  <si>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</si>
  <si>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</si>
  <si>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</si>
  <si>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</si>
  <si>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</si>
  <si>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</si>
  <si>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</si>
  <si>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</si>
  <si>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</si>
  <si>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</si>
  <si>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</si>
  <si>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</si>
  <si>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</si>
  <si>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</si>
  <si>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</si>
  <si>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</si>
  <si>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</si>
  <si>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</si>
  <si>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</si>
  <si>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</si>
  <si>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</si>
  <si>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</si>
  <si>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</si>
  <si>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</si>
  <si>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</si>
  <si>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</si>
  <si>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</si>
  <si>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</si>
  <si>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</si>
  <si>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</si>
  <si>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</si>
  <si>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</si>
  <si>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</si>
  <si>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</si>
  <si>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</si>
  <si>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</si>
  <si>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</si>
  <si>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</si>
  <si>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</si>
  <si>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</si>
  <si>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</si>
  <si>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</si>
  <si>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</si>
  <si>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</si>
  <si>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</si>
  <si>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</si>
  <si>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</si>
  <si>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</si>
  <si>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</si>
  <si>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</si>
  <si>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</si>
  <si>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</si>
  <si>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</si>
  <si>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</si>
  <si>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</si>
  <si>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</si>
  <si>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</si>
  <si>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</si>
  <si>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</si>
  <si>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</si>
  <si>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</si>
  <si>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</si>
  <si>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</si>
  <si>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</si>
  <si>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</si>
  <si>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</si>
  <si>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</si>
  <si>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</si>
  <si>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</si>
  <si>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</si>
  <si>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</si>
  <si>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</si>
  <si>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</si>
  <si>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</si>
  <si>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</si>
  <si>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</si>
  <si>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</si>
  <si>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</si>
  <si>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</si>
  <si>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</si>
  <si>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</si>
  <si>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</si>
  <si>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</si>
  <si>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</si>
  <si>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</si>
  <si>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</si>
  <si>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</si>
  <si>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</si>
  <si>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</si>
  <si>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</si>
  <si>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</si>
  <si>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</si>
  <si>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</si>
  <si>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</si>
  <si>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</si>
  <si>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</si>
  <si>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</si>
  <si>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</si>
  <si>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</si>
  <si>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</si>
  <si>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</si>
  <si>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</si>
  <si>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</si>
  <si>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</si>
  <si>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</si>
  <si>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</si>
  <si>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</si>
  <si>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</si>
  <si>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</si>
  <si>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</si>
  <si>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</si>
  <si>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</si>
  <si>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</si>
  <si>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</si>
  <si>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</si>
  <si>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</si>
  <si>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</si>
  <si>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</si>
  <si>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</si>
  <si>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</si>
  <si>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</si>
  <si>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</si>
  <si>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</si>
  <si>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</si>
  <si>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</si>
  <si>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</si>
  <si>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</si>
  <si>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</si>
  <si>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</si>
  <si>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</si>
  <si>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</si>
  <si>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</si>
  <si>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</si>
  <si>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</si>
  <si>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</si>
  <si>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</si>
  <si>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</si>
  <si>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</si>
  <si>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</si>
  <si>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</si>
  <si>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</si>
  <si>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</si>
  <si>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</si>
  <si>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</si>
  <si>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</si>
  <si>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</si>
  <si>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</si>
  <si>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</si>
  <si>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</si>
  <si>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</si>
  <si>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</si>
  <si>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</si>
  <si>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</si>
  <si>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</si>
  <si>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</si>
  <si>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</si>
  <si>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</si>
  <si>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</si>
  <si>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</si>
  <si>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</si>
  <si>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</si>
  <si>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</si>
  <si>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</si>
  <si>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</si>
  <si>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</si>
  <si>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</si>
  <si>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</si>
  <si>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</si>
  <si>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</si>
  <si>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</si>
  <si>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</si>
  <si>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</si>
  <si>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</si>
  <si>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</si>
  <si>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</si>
  <si>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</si>
  <si>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</si>
  <si>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</si>
  <si>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</si>
  <si>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</si>
  <si>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</si>
  <si>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</si>
  <si>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</si>
  <si>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</si>
  <si>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</si>
  <si>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</si>
  <si>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</si>
  <si>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</si>
  <si>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</si>
  <si>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</si>
  <si>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</si>
  <si>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</si>
  <si>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</si>
  <si>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</si>
  <si>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</si>
  <si>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</si>
  <si>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</si>
  <si>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</si>
  <si>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</si>
  <si>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</si>
  <si>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</si>
  <si>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</si>
  <si>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</si>
  <si>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</si>
  <si>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</si>
  <si>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</si>
  <si>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</si>
  <si>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</si>
  <si>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</si>
  <si>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</si>
  <si>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</si>
  <si>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</si>
  <si>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</si>
  <si>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</si>
  <si>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</si>
  <si>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</si>
  <si>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</si>
  <si>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</si>
  <si>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</si>
  <si>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</si>
  <si>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</si>
  <si>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</si>
  <si>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</si>
  <si>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</si>
  <si>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</si>
  <si>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</si>
  <si>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</si>
  <si>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</si>
  <si>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</si>
  <si>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</si>
  <si>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</si>
  <si>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</si>
  <si>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</si>
  <si>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</si>
  <si>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</si>
  <si>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</si>
  <si>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</si>
  <si>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</si>
  <si>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</si>
  <si>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</si>
  <si>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</si>
  <si>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</si>
  <si>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</si>
  <si>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</si>
  <si>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</si>
  <si>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</si>
  <si>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</si>
  <si>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</si>
  <si>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</si>
  <si>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</si>
  <si>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</si>
  <si>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</si>
  <si>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</si>
  <si>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</si>
  <si>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</si>
  <si>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</si>
  <si>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</si>
  <si>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</si>
  <si>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</si>
  <si>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</si>
  <si>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</si>
  <si>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</si>
  <si>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</si>
  <si>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</si>
  <si>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</si>
  <si>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</si>
  <si>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</si>
  <si>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</si>
  <si>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</si>
  <si>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</si>
  <si>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</si>
  <si>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</si>
  <si>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</si>
  <si>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</si>
  <si>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</si>
  <si>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</si>
  <si>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</si>
  <si>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</si>
  <si>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</si>
  <si>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</si>
  <si>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</si>
  <si>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</si>
  <si>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</si>
  <si>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</si>
  <si>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</si>
  <si>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</si>
  <si>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</si>
  <si>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</si>
  <si>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</si>
  <si>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</si>
  <si>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</si>
  <si>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</si>
  <si>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</si>
  <si>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</si>
  <si>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</si>
  <si>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</si>
  <si>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</si>
  <si>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</si>
  <si>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</si>
  <si>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</si>
  <si>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</si>
  <si>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</si>
  <si>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</si>
  <si>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</si>
  <si>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</si>
  <si>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</si>
  <si>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</si>
  <si>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</si>
  <si>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</si>
  <si>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</si>
  <si>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</si>
  <si>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</si>
  <si>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</si>
  <si>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</si>
  <si>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</si>
  <si>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</si>
  <si>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</si>
  <si>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</si>
  <si>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</si>
  <si>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</si>
  <si>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</si>
  <si>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</si>
  <si>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</si>
  <si>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</si>
  <si>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</si>
  <si>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</si>
  <si>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</si>
  <si>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</si>
  <si>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</si>
  <si>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</si>
  <si>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</si>
  <si>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</si>
  <si>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</si>
  <si>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</si>
  <si>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</si>
  <si>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</si>
  <si>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</si>
  <si>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</si>
  <si>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</si>
  <si>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</si>
  <si>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</si>
  <si>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</si>
  <si>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</si>
  <si>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</si>
  <si>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</si>
  <si>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</si>
  <si>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</si>
  <si>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</si>
  <si>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</si>
  <si>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</si>
  <si>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</si>
  <si>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</si>
  <si>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</si>
  <si>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</si>
  <si>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</si>
  <si>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</si>
  <si>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</si>
  <si>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</si>
  <si>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</si>
  <si>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</si>
  <si>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</si>
  <si>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</si>
  <si>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</si>
  <si>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</si>
  <si>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</si>
  <si>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</si>
  <si>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</si>
  <si>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</si>
  <si>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</si>
  <si>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</si>
  <si>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</si>
  <si>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</si>
  <si>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</si>
  <si>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</si>
  <si>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</si>
  <si>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</si>
  <si>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</si>
  <si>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</si>
  <si>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</si>
  <si>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</si>
  <si>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</si>
  <si>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</si>
  <si>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</si>
  <si>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</si>
  <si>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</si>
  <si>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</si>
  <si>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</si>
  <si>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</si>
  <si>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</si>
  <si>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</si>
  <si>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</si>
  <si>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</si>
  <si>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</si>
  <si>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</si>
  <si>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</si>
  <si>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</si>
  <si>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</si>
  <si>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</si>
  <si>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</si>
  <si>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</si>
  <si>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</si>
  <si>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</si>
  <si>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</si>
  <si>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</si>
  <si>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</si>
  <si>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</si>
  <si>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</si>
  <si>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</si>
  <si>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</si>
  <si>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</si>
  <si>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</si>
  <si>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</si>
  <si>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</si>
  <si>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</si>
  <si>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</si>
  <si>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</si>
  <si>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</si>
  <si>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</si>
  <si>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</si>
  <si>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</si>
  <si>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</si>
  <si>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</si>
  <si>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</si>
  <si>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</si>
  <si>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</si>
  <si>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</si>
  <si>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</si>
  <si>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</si>
  <si>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</si>
  <si>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</si>
  <si>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</si>
  <si>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</si>
  <si>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</si>
  <si>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</si>
  <si>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</si>
  <si>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</si>
  <si>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</si>
  <si>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</si>
  <si>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</si>
  <si>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</si>
  <si>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</si>
  <si>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</si>
  <si>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</si>
  <si>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</si>
  <si>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</si>
  <si>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</si>
  <si>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</si>
  <si>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</si>
  <si>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</si>
  <si>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</si>
  <si>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</si>
  <si>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</si>
  <si>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</si>
  <si>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</si>
  <si>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</si>
  <si>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</si>
  <si>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</si>
  <si>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</si>
  <si>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</si>
  <si>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</si>
  <si>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</si>
  <si>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</si>
  <si>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</si>
  <si>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</si>
  <si>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</si>
  <si>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</si>
  <si>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</si>
  <si>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</si>
  <si>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</si>
  <si>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</si>
  <si>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</si>
  <si>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</si>
  <si>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</si>
  <si>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</si>
  <si>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</si>
  <si>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</si>
  <si>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</si>
  <si>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</si>
  <si>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</si>
  <si>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</si>
  <si>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</si>
  <si>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</si>
  <si>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</si>
  <si>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</si>
  <si>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</si>
  <si>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</si>
  <si>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</si>
  <si>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</si>
  <si>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</si>
  <si>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</si>
  <si>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</si>
  <si>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</si>
  <si>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</si>
  <si>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</si>
  <si>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</si>
  <si>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</si>
  <si>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</si>
  <si>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</si>
  <si>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</si>
  <si>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</si>
  <si>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</si>
  <si>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</si>
  <si>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</si>
  <si>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</si>
  <si>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</si>
  <si>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</si>
  <si>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</si>
  <si>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</si>
  <si>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</si>
  <si>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</si>
  <si>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</si>
  <si>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</si>
  <si>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</si>
  <si>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</si>
  <si>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</si>
  <si>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</si>
  <si>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</si>
  <si>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</si>
  <si>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</si>
  <si>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</si>
  <si>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</si>
  <si>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</si>
  <si>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</si>
  <si>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</si>
  <si>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</si>
  <si>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</si>
  <si>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</si>
  <si>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</si>
  <si>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</si>
  <si>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</si>
  <si>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</si>
  <si>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</si>
  <si>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</si>
  <si>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</si>
  <si>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</si>
  <si>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</si>
  <si>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</si>
  <si>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</si>
  <si>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</si>
  <si>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</si>
  <si>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</si>
  <si>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</si>
  <si>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</si>
  <si>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</si>
  <si>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</si>
  <si>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</si>
  <si>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</si>
  <si>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</si>
  <si>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</si>
  <si>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</si>
  <si>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</si>
  <si>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</si>
  <si>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</si>
  <si>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</si>
  <si>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</si>
  <si>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</si>
  <si>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</si>
  <si>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</si>
  <si>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</si>
  <si>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</si>
  <si>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</si>
  <si>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</si>
  <si>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</si>
  <si>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</si>
  <si>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</si>
  <si>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</si>
  <si>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</si>
  <si>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</si>
  <si>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</si>
  <si>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</si>
  <si>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</si>
  <si>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</si>
  <si>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</si>
  <si>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</si>
  <si>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</si>
  <si>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</si>
  <si>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</si>
  <si>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</si>
  <si>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</si>
  <si>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</si>
  <si>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</si>
  <si>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</si>
  <si>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</si>
  <si>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</si>
  <si>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</si>
  <si>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</si>
  <si>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</si>
  <si>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</si>
  <si>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</si>
  <si>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</si>
  <si>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</si>
  <si>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</si>
  <si>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</si>
  <si>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</si>
  <si>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</si>
  <si>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</si>
  <si>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</si>
  <si>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</si>
  <si>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</si>
  <si>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</si>
  <si>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</si>
  <si>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</si>
  <si>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</si>
  <si>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</si>
  <si>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</si>
  <si>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</si>
  <si>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</si>
  <si>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</si>
  <si>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</si>
  <si>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</si>
  <si>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</si>
  <si>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</si>
  <si>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</si>
  <si>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</si>
  <si>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</si>
  <si>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</si>
  <si>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</si>
  <si>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</si>
  <si>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</si>
  <si>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</si>
  <si>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</si>
  <si>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</si>
  <si>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</si>
  <si>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</si>
  <si>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</si>
  <si>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</si>
  <si>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</si>
  <si>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</si>
  <si>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</si>
  <si>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</si>
  <si>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</si>
  <si>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</si>
  <si>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</si>
  <si>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</si>
  <si>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</si>
  <si>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</si>
  <si>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</si>
  <si>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</si>
  <si>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</si>
  <si>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</si>
  <si>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</si>
  <si>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</si>
  <si>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</si>
  <si>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</si>
  <si>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</si>
  <si>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</si>
  <si>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</si>
  <si>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</si>
  <si>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</si>
  <si>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</si>
  <si>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</si>
  <si>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</si>
  <si>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</si>
  <si>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</si>
  <si>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</si>
  <si>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</si>
  <si>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</si>
  <si>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</si>
  <si>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</si>
  <si>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</si>
  <si>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</si>
  <si>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</si>
  <si>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</si>
  <si>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</si>
  <si>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</si>
  <si>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</si>
  <si>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</si>
  <si>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</si>
  <si>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</si>
  <si>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</si>
  <si>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</si>
  <si>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</si>
  <si>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</si>
  <si>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</si>
  <si>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</si>
  <si>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</si>
  <si>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</si>
  <si>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</si>
  <si>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</si>
  <si>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</si>
  <si>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</si>
  <si>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</si>
  <si>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</si>
  <si>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</si>
  <si>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</si>
  <si>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</si>
  <si>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</si>
  <si>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</si>
  <si>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</si>
  <si>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</si>
  <si>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</si>
  <si>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</si>
  <si>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</si>
  <si>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</si>
  <si>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</si>
  <si>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</si>
  <si>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</si>
  <si>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</si>
  <si>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</si>
  <si>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</si>
  <si>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</si>
  <si>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</si>
  <si>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</si>
  <si>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</si>
  <si>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</si>
  <si>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</si>
  <si>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</si>
  <si>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</si>
  <si>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</si>
  <si>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</si>
  <si>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</si>
  <si>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</si>
  <si>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</si>
  <si>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</si>
  <si>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</si>
  <si>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</si>
  <si>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</si>
  <si>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</si>
  <si>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</si>
  <si>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</si>
  <si>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</si>
  <si>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</si>
  <si>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</si>
  <si>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</si>
  <si>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</si>
  <si>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</si>
  <si>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</si>
  <si>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</si>
  <si>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</si>
  <si>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</si>
  <si>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</si>
  <si>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</si>
  <si>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</si>
  <si>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</si>
  <si>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</si>
  <si>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</si>
  <si>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</si>
  <si>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</si>
  <si>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</si>
  <si>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</si>
  <si>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</si>
  <si>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</si>
  <si>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</si>
  <si>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</si>
  <si>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</si>
  <si>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</si>
  <si>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</si>
  <si>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</si>
  <si>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</si>
  <si>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</si>
  <si>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</si>
  <si>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</si>
  <si>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</si>
  <si>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</si>
  <si>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</si>
  <si>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</si>
  <si>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</si>
  <si>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</si>
  <si>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</si>
  <si>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</si>
  <si>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</si>
  <si>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</si>
  <si>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</si>
  <si>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</si>
  <si>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</si>
  <si>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</si>
  <si>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</si>
  <si>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</si>
  <si>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</si>
  <si>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</si>
  <si>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</si>
  <si>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</si>
  <si>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</si>
  <si>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</si>
  <si>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</si>
  <si>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</si>
  <si>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</si>
  <si>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</si>
  <si>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</si>
  <si>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</si>
  <si>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</si>
  <si>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</si>
  <si>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</si>
  <si>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</si>
  <si>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</si>
  <si>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</si>
  <si>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</si>
  <si>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</si>
  <si>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</si>
  <si>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</si>
  <si>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</si>
  <si>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</si>
  <si>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</si>
  <si>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</si>
  <si>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</si>
  <si>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</si>
  <si>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</si>
  <si>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</si>
  <si>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</si>
  <si>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</si>
  <si>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</si>
  <si>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</si>
  <si>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</si>
  <si>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</si>
  <si>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</si>
  <si>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</si>
  <si>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</si>
  <si>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</si>
  <si>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</si>
  <si>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</si>
  <si>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</si>
  <si>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</si>
  <si>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</si>
  <si>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</si>
  <si>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</si>
  <si>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</si>
  <si>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</si>
  <si>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</si>
  <si>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</si>
  <si>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</si>
  <si>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</si>
  <si>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</si>
  <si>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</si>
  <si>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</si>
  <si>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</si>
  <si>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</si>
  <si>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</si>
  <si>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</si>
  <si>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</si>
  <si>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</si>
  <si>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</si>
  <si>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</si>
  <si>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</si>
  <si>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</si>
  <si>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</si>
  <si>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</si>
  <si>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</si>
  <si>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</si>
  <si>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</si>
  <si>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</si>
  <si>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</si>
  <si>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</si>
  <si>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</si>
  <si>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</si>
  <si>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</si>
  <si>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</si>
  <si>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</si>
  <si>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</si>
  <si>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</si>
  <si>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</si>
  <si>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</si>
  <si>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</si>
  <si>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</si>
  <si>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</si>
  <si>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</si>
  <si>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</si>
  <si>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</si>
  <si>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</si>
  <si>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</si>
  <si>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</si>
  <si>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</si>
  <si>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</si>
  <si>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</si>
  <si>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</si>
  <si>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</si>
  <si>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</si>
  <si>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</si>
  <si>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</si>
  <si>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</si>
  <si>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</si>
  <si>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</si>
  <si>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</si>
  <si>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</si>
  <si>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</si>
  <si>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</si>
  <si>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</si>
  <si>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</si>
  <si>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</si>
  <si>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</si>
  <si>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</si>
  <si>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</si>
  <si>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</si>
  <si>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</si>
  <si>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</si>
  <si>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</si>
  <si>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</si>
  <si>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</si>
  <si>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</si>
  <si>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</si>
  <si>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</si>
  <si>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</si>
  <si>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</si>
  <si>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</si>
  <si>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</si>
  <si>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</si>
  <si>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</si>
  <si>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</si>
  <si>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</si>
  <si>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</si>
  <si>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</si>
  <si>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</si>
  <si>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</si>
  <si>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</si>
  <si>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</si>
  <si>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</si>
  <si>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</si>
  <si>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</si>
  <si>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</si>
  <si>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</si>
  <si>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</si>
  <si>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</si>
  <si>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</si>
  <si>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</si>
  <si>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</si>
  <si>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</si>
  <si>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</si>
  <si>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</si>
  <si>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</si>
  <si>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</si>
  <si>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</si>
  <si>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</si>
  <si>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</si>
  <si>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</si>
  <si>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</si>
  <si>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</si>
  <si>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</si>
  <si>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</si>
  <si>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</si>
  <si>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</si>
  <si>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</si>
  <si>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</si>
  <si>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</si>
  <si>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</si>
  <si>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</si>
  <si>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</si>
  <si>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</si>
  <si>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</si>
  <si>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</si>
  <si>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</si>
  <si>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</si>
  <si>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</si>
  <si>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</si>
  <si>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</si>
  <si>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</si>
  <si>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</si>
  <si>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</si>
  <si>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</si>
  <si>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</si>
  <si>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</si>
  <si>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</si>
  <si>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</si>
  <si>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</si>
  <si>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</si>
  <si>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</si>
  <si>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</si>
  <si>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</si>
  <si>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</si>
  <si>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</si>
  <si>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</si>
  <si>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</si>
  <si>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</si>
  <si>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</si>
  <si>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</si>
  <si>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</si>
  <si>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</si>
  <si>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</si>
  <si>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</si>
  <si>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</si>
  <si>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</si>
  <si>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</si>
  <si>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</si>
  <si>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</si>
  <si>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</si>
  <si>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</si>
  <si>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</si>
  <si>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</si>
  <si>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</si>
  <si>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</si>
  <si>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</si>
  <si>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</si>
  <si>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</si>
  <si>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</si>
  <si>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</si>
  <si>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</si>
  <si>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</si>
  <si>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</si>
  <si>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</si>
  <si>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</si>
  <si>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</si>
  <si>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</si>
  <si>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</si>
  <si>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</si>
  <si>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</si>
  <si>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</si>
  <si>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</si>
  <si>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</si>
  <si>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</si>
  <si>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</si>
  <si>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</si>
  <si>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</si>
  <si>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</si>
  <si>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</si>
  <si>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</si>
  <si>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</si>
  <si>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</si>
  <si>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</si>
  <si>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</si>
  <si>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</si>
  <si>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</si>
  <si>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</si>
  <si>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</si>
  <si>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</si>
  <si>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</si>
  <si>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</si>
  <si>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</si>
  <si>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</si>
  <si>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</si>
  <si>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</si>
  <si>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</si>
  <si>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</si>
  <si>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</si>
  <si>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</si>
  <si>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</si>
  <si>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</si>
  <si>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</si>
  <si>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</si>
  <si>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</si>
  <si>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</si>
  <si>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</si>
  <si>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</si>
  <si>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</si>
  <si>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</si>
  <si>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</si>
  <si>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</si>
  <si>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</si>
  <si>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</si>
  <si>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</si>
  <si>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</si>
  <si>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</si>
  <si>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</si>
  <si>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</si>
  <si>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</si>
  <si>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</si>
  <si>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</si>
  <si>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</si>
  <si>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</si>
  <si>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</si>
  <si>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</si>
  <si>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</si>
  <si>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</si>
  <si>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</si>
  <si>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</si>
  <si>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</si>
  <si>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</si>
  <si>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</si>
  <si>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</si>
  <si>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</si>
  <si>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</si>
  <si>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</si>
  <si>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</si>
  <si>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</si>
  <si>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</si>
  <si>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</si>
  <si>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</si>
  <si>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</si>
  <si>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</si>
  <si>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</si>
  <si>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</si>
  <si>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</si>
  <si>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</si>
  <si>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</si>
  <si>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</si>
  <si>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</si>
  <si>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</si>
  <si>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</si>
  <si>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</si>
  <si>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</si>
  <si>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</si>
  <si>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</si>
  <si>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</si>
  <si>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</si>
  <si>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</si>
  <si>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</si>
  <si>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</si>
  <si>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</si>
  <si>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</si>
  <si>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</si>
  <si>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</si>
  <si>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</si>
  <si>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</si>
  <si>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</si>
  <si>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</si>
  <si>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</si>
  <si>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</si>
  <si>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</si>
  <si>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</si>
  <si>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</si>
  <si>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</si>
  <si>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</si>
  <si>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</si>
  <si>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</si>
  <si>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</si>
  <si>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</si>
  <si>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</si>
  <si>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</si>
  <si>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</si>
  <si>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</si>
  <si>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</si>
  <si>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</si>
  <si>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</si>
  <si>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</si>
  <si>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</si>
  <si>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</si>
  <si>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</si>
  <si>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</si>
  <si>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</si>
  <si>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</si>
  <si>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</si>
  <si>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</si>
  <si>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</si>
  <si>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</si>
  <si>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</si>
  <si>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</si>
  <si>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</si>
  <si>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</si>
  <si>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</si>
  <si>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</si>
  <si>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</si>
  <si>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</si>
  <si>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</si>
  <si>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</si>
  <si>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</si>
  <si>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</si>
  <si>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</si>
  <si>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</si>
  <si>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</si>
  <si>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</si>
  <si>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</si>
  <si>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</si>
  <si>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</si>
  <si>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</si>
  <si>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</si>
  <si>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</si>
  <si>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</si>
  <si>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</si>
  <si>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</si>
  <si>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</si>
  <si>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</si>
  <si>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</si>
  <si>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</si>
  <si>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</si>
  <si>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</si>
  <si>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</si>
  <si>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</si>
  <si>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</si>
  <si>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</si>
  <si>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</si>
  <si>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</si>
  <si>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</si>
  <si>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</si>
  <si>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</si>
  <si>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</si>
  <si>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</si>
  <si>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</si>
  <si>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</si>
  <si>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</si>
  <si>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</si>
  <si>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</si>
  <si>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</si>
  <si>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</si>
  <si>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</si>
  <si>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</si>
  <si>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</si>
  <si>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</si>
  <si>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</si>
  <si>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</si>
  <si>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</si>
  <si>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</si>
  <si>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</si>
  <si>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</si>
  <si>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</si>
  <si>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</si>
  <si>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</si>
  <si>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</si>
  <si>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</si>
  <si>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</si>
  <si>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</si>
  <si>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</si>
  <si>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</si>
  <si>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</si>
  <si>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</si>
  <si>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</si>
  <si>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</si>
  <si>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</si>
  <si>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</si>
  <si>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</si>
  <si>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</si>
  <si>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</si>
  <si>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</si>
  <si>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</si>
  <si>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</si>
  <si>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</si>
  <si>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</si>
  <si>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</si>
  <si>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</si>
  <si>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</si>
  <si>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</si>
  <si>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</si>
  <si>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</si>
  <si>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</si>
  <si>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</si>
  <si>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</si>
  <si>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</si>
  <si>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</si>
  <si>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</si>
  <si>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</si>
  <si>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</si>
  <si>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</si>
  <si>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</si>
  <si>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</si>
  <si>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</si>
  <si>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</si>
  <si>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</si>
  <si>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</si>
  <si>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</si>
  <si>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</si>
  <si>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</si>
  <si>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</si>
  <si>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</si>
  <si>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</si>
  <si>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</si>
  <si>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</si>
  <si>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</si>
  <si>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</si>
  <si>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</si>
  <si>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</si>
  <si>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</si>
  <si>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</si>
  <si>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</si>
  <si>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</si>
  <si>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</si>
  <si>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</si>
  <si>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</si>
  <si>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</si>
  <si>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</si>
  <si>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</si>
  <si>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</si>
  <si>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</si>
  <si>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</si>
  <si>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</si>
  <si>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</si>
  <si>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</si>
  <si>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</si>
  <si>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</si>
  <si>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</si>
  <si>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</si>
  <si>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</si>
  <si>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</si>
  <si>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</si>
  <si>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</si>
  <si>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</si>
  <si>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</si>
  <si>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</si>
  <si>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</si>
  <si>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</si>
  <si>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</si>
  <si>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</si>
  <si>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</si>
  <si>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</si>
  <si>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</si>
  <si>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</si>
  <si>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</si>
  <si>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</si>
  <si>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</si>
  <si>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</si>
  <si>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</si>
  <si>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</si>
  <si>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</si>
  <si>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</si>
  <si>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</si>
  <si>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</si>
  <si>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</si>
  <si>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</si>
  <si>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</si>
  <si>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</si>
  <si>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</si>
  <si>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</si>
  <si>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</si>
  <si>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</si>
  <si>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</si>
  <si>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</si>
  <si>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</si>
  <si>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</si>
  <si>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</si>
  <si>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</si>
  <si>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</si>
  <si>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</si>
  <si>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</si>
  <si>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</si>
  <si>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</si>
  <si>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</si>
  <si>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</si>
  <si>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</si>
  <si>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</si>
  <si>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</si>
  <si>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</si>
  <si>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</si>
  <si>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</si>
  <si>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</si>
  <si>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</si>
  <si>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</si>
  <si>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</si>
  <si>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</si>
  <si>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</si>
  <si>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계획_x000D_
작업량</t>
    <phoneticPr fontId="4" type="noConversion"/>
  </si>
  <si>
    <t>총_x000D_
기간</t>
    <phoneticPr fontId="4" type="noConversion"/>
  </si>
  <si>
    <t>가중치</t>
    <phoneticPr fontId="4" type="noConversion"/>
  </si>
  <si>
    <t>담당</t>
    <phoneticPr fontId="4" type="noConversion"/>
  </si>
  <si>
    <t>계획</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</si>
  <si>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</si>
  <si>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</si>
  <si>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</si>
  <si>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</si>
  <si>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</si>
  <si>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</si>
  <si>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</si>
  <si>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</si>
  <si>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</si>
  <si>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</si>
  <si>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</si>
  <si>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</si>
  <si>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</si>
  <si>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1.1.2.1</t>
  </si>
  <si>
    <t>프로젝트 계획 수립</t>
  </si>
  <si>
    <t>1.1.2.2</t>
  </si>
  <si>
    <t>착수보고(Kick off)</t>
  </si>
  <si>
    <t>월간보고1</t>
  </si>
  <si>
    <t>월간보고2</t>
  </si>
  <si>
    <t>1.2.3</t>
  </si>
  <si>
    <t>월간보고3</t>
  </si>
  <si>
    <t>1.2.4</t>
  </si>
  <si>
    <t>중간보고</t>
  </si>
  <si>
    <t>프로젝트 종료</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</si>
  <si>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</si>
  <si>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</si>
  <si>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</si>
  <si>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</si>
  <si>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</si>
  <si>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</si>
  <si>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</si>
  <si>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</si>
  <si>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</si>
  <si>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</si>
  <si>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</si>
  <si>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</si>
  <si>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</si>
  <si>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</si>
  <si>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</si>
  <si>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</si>
  <si>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</si>
  <si>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</si>
  <si>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</si>
  <si>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</si>
  <si>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</si>
  <si>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</si>
  <si>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</si>
  <si>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</si>
  <si>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</si>
  <si>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</si>
  <si>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</si>
  <si>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</si>
  <si>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</si>
  <si>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</si>
  <si>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</si>
  <si>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</si>
  <si>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</si>
  <si>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</si>
  <si>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</si>
  <si>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</si>
  <si>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</si>
  <si>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</si>
  <si>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</si>
  <si>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</si>
  <si>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</si>
  <si>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</si>
  <si>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</si>
  <si>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</si>
  <si>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</si>
  <si>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</si>
  <si>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</si>
  <si>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</si>
  <si>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</si>
  <si>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</si>
  <si>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</si>
  <si>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</si>
  <si>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</si>
  <si>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</si>
  <si>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</si>
  <si>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</si>
  <si>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</si>
  <si>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</si>
  <si>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</si>
  <si>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</si>
  <si>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</si>
  <si>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</si>
  <si>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</si>
  <si>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</si>
  <si>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</si>
  <si>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</si>
  <si>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</si>
  <si>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</si>
  <si>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</si>
  <si>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</si>
  <si>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</si>
  <si>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</si>
  <si>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</si>
  <si>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</si>
  <si>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</si>
  <si>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</si>
  <si>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</si>
  <si>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</si>
  <si>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</si>
  <si>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</si>
  <si>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</si>
  <si>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</si>
  <si>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</si>
  <si>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</si>
  <si>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</si>
  <si>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</si>
  <si>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</si>
  <si>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</si>
  <si>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</si>
  <si>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</si>
  <si>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최종발표</t>
  </si>
  <si>
    <t>1.2.5</t>
  </si>
  <si>
    <t>시작일*</t>
    <phoneticPr fontId="4" type="noConversion"/>
  </si>
  <si>
    <t>Calendar</t>
    <phoneticPr fontId="4" type="noConversion"/>
  </si>
  <si>
    <t>실제_x000D_
시작일</t>
    <phoneticPr fontId="4" type="noConversion"/>
  </si>
  <si>
    <t>실제_x000D_
총작업량</t>
    <phoneticPr fontId="4" type="noConversion"/>
  </si>
  <si>
    <t>실적기성(총기간 x 총실적진행율)</t>
    <phoneticPr fontId="4" type="noConversion"/>
  </si>
  <si>
    <t>주제 선정</t>
  </si>
  <si>
    <t>착수 보고</t>
  </si>
  <si>
    <t>프로젝트 수행 보고</t>
  </si>
  <si>
    <t>UI 구현</t>
  </si>
  <si>
    <t>2,3주차</t>
  </si>
  <si>
    <t>3.4주차</t>
  </si>
  <si>
    <t>5주차</t>
  </si>
  <si>
    <t>6주차</t>
  </si>
  <si>
    <t>7주차</t>
  </si>
  <si>
    <t>8주차</t>
  </si>
  <si>
    <t>09/05
W37</t>
  </si>
  <si>
    <t>10/03
W41</t>
  </si>
  <si>
    <t>실적*</t>
    <phoneticPr fontId="4" type="noConversion"/>
  </si>
  <si>
    <t>reserved</t>
    <phoneticPr fontId="4" type="noConversion"/>
  </si>
  <si>
    <t>task_group</t>
    <phoneticPr fontId="4" type="noConversion"/>
  </si>
  <si>
    <t>작업*</t>
    <phoneticPr fontId="4" type="noConversion"/>
  </si>
  <si>
    <t>비고</t>
    <phoneticPr fontId="4" type="noConversion"/>
  </si>
  <si>
    <t>완료일*</t>
    <phoneticPr fontId="4" type="noConversion"/>
  </si>
  <si>
    <t>총_x000D_
작업량</t>
    <phoneticPr fontId="4" type="noConversion"/>
  </si>
  <si>
    <t>산출물</t>
    <phoneticPr fontId="4" type="noConversion"/>
  </si>
  <si>
    <t>SCHEDULE_SHEET_POSITION:3545151617181920212223242526272829303132</t>
    <phoneticPr fontId="2" type="noConversion"/>
  </si>
  <si>
    <t>주간 정검1</t>
  </si>
  <si>
    <t>주간 정검2</t>
  </si>
  <si>
    <t>주간 정검3</t>
  </si>
  <si>
    <t>프로젝트 주제 발표</t>
  </si>
  <si>
    <t>4주차</t>
  </si>
  <si>
    <t>윷놀이 기본 기능</t>
  </si>
  <si>
    <t>아이템 기능 추가</t>
  </si>
  <si>
    <t>욫놀이 기본 프로그램</t>
  </si>
  <si>
    <t>윳놀이 아이템1</t>
  </si>
  <si>
    <t>윳놀이 아이템2</t>
  </si>
  <si>
    <t>윷놀이 아이템3</t>
  </si>
  <si>
    <t>윷놀이 아에템 병합</t>
  </si>
  <si>
    <t>1.4.2.1</t>
  </si>
  <si>
    <t>1.4.2.2</t>
  </si>
  <si>
    <t>1.5</t>
  </si>
  <si>
    <t>1.5.1</t>
  </si>
  <si>
    <t>1.5.1.1</t>
  </si>
  <si>
    <t>1.5.2</t>
  </si>
  <si>
    <t>1.5.2.1</t>
  </si>
  <si>
    <t>1.6</t>
  </si>
  <si>
    <t>1.6.1</t>
  </si>
  <si>
    <t>1.6.2</t>
  </si>
  <si>
    <t>1.6.3</t>
  </si>
  <si>
    <t>윷놀이 기본 기능 구현</t>
  </si>
  <si>
    <t>윳놀이 아이템 구현</t>
  </si>
  <si>
    <t>6,7주차</t>
  </si>
  <si>
    <t>1.5.1.1.1</t>
  </si>
  <si>
    <t>1.5.1.1.1.1</t>
  </si>
  <si>
    <t>1.5.1.1.1.2</t>
  </si>
  <si>
    <t>1.5.1.1.1.3</t>
  </si>
  <si>
    <t>1.5.1.1.1.4</t>
  </si>
  <si>
    <t>1.5.1.1.1.5</t>
  </si>
  <si>
    <t>wbs_level</t>
    <phoneticPr fontId="4" type="noConversion"/>
  </si>
  <si>
    <t>WBS</t>
    <phoneticPr fontId="4" type="noConversion"/>
  </si>
  <si>
    <t>계획_x000D_
기간</t>
    <phoneticPr fontId="4" type="noConversion"/>
  </si>
  <si>
    <t>실제_x000D_
완료일</t>
    <phoneticPr fontId="4" type="noConversion"/>
  </si>
  <si>
    <t>실제_x000D_
총기간</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</si>
</sst>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
      <left/>
      <right style="thin">
        <color theme="0"/>
      </right>
      <top/>
      <bottom style="thin">
        <color theme="0"/>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10" fontId="23" fillId="0" borderId="30" xfId="6" applyNumberFormat="1" applyFont="1" applyFill="1" applyBorder="1" applyAlignment="1" applyProtection="1">
      <alignment horizontal="right" vertical="top"/>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0" fontId="23" fillId="0" borderId="30" xfId="4" applyFont="1" applyFill="1" applyBorder="1" applyAlignment="1" applyProtection="1">
      <alignment horizontal="left" vertical="center"/>
      <protection locked="0"/>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19" xfId="1" applyFont="1" applyFill="1" applyBorder="1" applyAlignment="1">
      <alignment horizontal="left"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0" borderId="32" xfId="4" applyFont="1" applyFill="1" applyBorder="1" applyAlignment="1" applyProtection="1">
      <alignment horizontal="left" vertical="center"/>
      <protection locked="0"/>
    </xf>
    <xf numFmtId="10" fontId="23" fillId="21" borderId="31" xfId="6" applyNumberFormat="1" applyFont="1" applyFill="1" applyBorder="1" applyAlignment="1" applyProtection="1">
      <alignment horizontal="right" vertical="top"/>
      <protection locked="0"/>
    </xf>
    <xf numFmtId="14" fontId="47" fillId="19" borderId="21" xfId="4" applyNumberFormat="1" applyFont="1" applyFill="1" applyBorder="1" applyAlignment="1" applyProtection="1">
      <alignment horizontal="center" vertical="center"/>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103415</xdr:colOff>
      <xdr:row>3</xdr:row>
      <xdr:rowOff>76073</xdr:rowOff>
    </xdr:from>
    <xdr:to>
      <xdr:col>34</xdr:col>
      <xdr:colOff>103415</xdr:colOff>
      <xdr:row>36</xdr:row>
      <xdr:rowOff>0</xdr:rowOff>
    </xdr:to>
    <xdr:cxnSp macro="">
      <xdr:nvCxnSpPr>
        <xdr:cNvPr id="23252" name="직선 화살표 연결선 23251"/>
        <xdr:cNvCxnSpPr/>
      </xdr:nvCxnSpPr>
      <xdr:spPr>
        <a:xfrm>
          <a:off x="10885715" y="754253"/>
          <a:ext cx="0" cy="4876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35</xdr:row>
      <xdr:rowOff>19050</xdr:rowOff>
    </xdr:from>
    <xdr:to>
      <xdr:col>37</xdr:col>
      <xdr:colOff>84001</xdr:colOff>
      <xdr:row>35</xdr:row>
      <xdr:rowOff>133350</xdr:rowOff>
    </xdr:to>
    <xdr:sp macro="" textlink="">
      <xdr:nvSpPr>
        <xdr:cNvPr id="23253" name="32"/>
        <xdr:cNvSpPr/>
      </xdr:nvSpPr>
      <xdr:spPr>
        <a:xfrm>
          <a:off x="10989128" y="54978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35</xdr:row>
      <xdr:rowOff>76200</xdr:rowOff>
    </xdr:from>
    <xdr:to>
      <xdr:col>35</xdr:col>
      <xdr:colOff>62048</xdr:colOff>
      <xdr:row>35</xdr:row>
      <xdr:rowOff>76200</xdr:rowOff>
    </xdr:to>
    <xdr:cxnSp macro="">
      <xdr:nvCxnSpPr>
        <xdr:cNvPr id="23254" name="직선 화살표 연결선 23253"/>
        <xdr:cNvCxnSpPr/>
      </xdr:nvCxnSpPr>
      <xdr:spPr>
        <a:xfrm>
          <a:off x="10989128"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34</xdr:row>
      <xdr:rowOff>19050</xdr:rowOff>
    </xdr:from>
    <xdr:to>
      <xdr:col>35</xdr:col>
      <xdr:colOff>63318</xdr:colOff>
      <xdr:row>34</xdr:row>
      <xdr:rowOff>133350</xdr:rowOff>
    </xdr:to>
    <xdr:sp macro="" textlink="">
      <xdr:nvSpPr>
        <xdr:cNvPr id="23255" name="31"/>
        <xdr:cNvSpPr/>
      </xdr:nvSpPr>
      <xdr:spPr>
        <a:xfrm>
          <a:off x="10844349" y="53454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34</xdr:row>
      <xdr:rowOff>76200</xdr:rowOff>
    </xdr:from>
    <xdr:to>
      <xdr:col>34</xdr:col>
      <xdr:colOff>62049</xdr:colOff>
      <xdr:row>34</xdr:row>
      <xdr:rowOff>76200</xdr:rowOff>
    </xdr:to>
    <xdr:cxnSp macro="">
      <xdr:nvCxnSpPr>
        <xdr:cNvPr id="23256" name="직선 화살표 연결선 23255"/>
        <xdr:cNvCxnSpPr/>
      </xdr:nvCxnSpPr>
      <xdr:spPr>
        <a:xfrm>
          <a:off x="1084434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33</xdr:row>
      <xdr:rowOff>19050</xdr:rowOff>
    </xdr:from>
    <xdr:to>
      <xdr:col>35</xdr:col>
      <xdr:colOff>63318</xdr:colOff>
      <xdr:row>33</xdr:row>
      <xdr:rowOff>133350</xdr:rowOff>
    </xdr:to>
    <xdr:sp macro="" textlink="">
      <xdr:nvSpPr>
        <xdr:cNvPr id="23257" name="30"/>
        <xdr:cNvSpPr/>
      </xdr:nvSpPr>
      <xdr:spPr>
        <a:xfrm>
          <a:off x="10844349" y="51930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33</xdr:row>
      <xdr:rowOff>76200</xdr:rowOff>
    </xdr:from>
    <xdr:to>
      <xdr:col>34</xdr:col>
      <xdr:colOff>62049</xdr:colOff>
      <xdr:row>33</xdr:row>
      <xdr:rowOff>76200</xdr:rowOff>
    </xdr:to>
    <xdr:cxnSp macro="">
      <xdr:nvCxnSpPr>
        <xdr:cNvPr id="23258" name="직선 화살표 연결선 23257"/>
        <xdr:cNvCxnSpPr/>
      </xdr:nvCxnSpPr>
      <xdr:spPr>
        <a:xfrm>
          <a:off x="10844349"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32</xdr:row>
      <xdr:rowOff>19050</xdr:rowOff>
    </xdr:from>
    <xdr:to>
      <xdr:col>37</xdr:col>
      <xdr:colOff>84001</xdr:colOff>
      <xdr:row>32</xdr:row>
      <xdr:rowOff>133350</xdr:rowOff>
    </xdr:to>
    <xdr:sp macro="" textlink="">
      <xdr:nvSpPr>
        <xdr:cNvPr id="23259" name="29"/>
        <xdr:cNvSpPr/>
      </xdr:nvSpPr>
      <xdr:spPr>
        <a:xfrm>
          <a:off x="10844349" y="50406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32</xdr:row>
      <xdr:rowOff>76200</xdr:rowOff>
    </xdr:from>
    <xdr:to>
      <xdr:col>34</xdr:col>
      <xdr:colOff>62049</xdr:colOff>
      <xdr:row>32</xdr:row>
      <xdr:rowOff>76200</xdr:rowOff>
    </xdr:to>
    <xdr:cxnSp macro="">
      <xdr:nvCxnSpPr>
        <xdr:cNvPr id="23260" name="직선 화살표 연결선 23259"/>
        <xdr:cNvCxnSpPr/>
      </xdr:nvCxnSpPr>
      <xdr:spPr>
        <a:xfrm>
          <a:off x="10844349"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31</xdr:row>
      <xdr:rowOff>19050</xdr:rowOff>
    </xdr:from>
    <xdr:to>
      <xdr:col>37</xdr:col>
      <xdr:colOff>84001</xdr:colOff>
      <xdr:row>31</xdr:row>
      <xdr:rowOff>133350</xdr:rowOff>
    </xdr:to>
    <xdr:sp macro="" textlink="">
      <xdr:nvSpPr>
        <xdr:cNvPr id="23261" name="28"/>
        <xdr:cNvSpPr/>
      </xdr:nvSpPr>
      <xdr:spPr>
        <a:xfrm>
          <a:off x="11133909" y="48882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31</xdr:row>
      <xdr:rowOff>76200</xdr:rowOff>
    </xdr:from>
    <xdr:to>
      <xdr:col>36</xdr:col>
      <xdr:colOff>62049</xdr:colOff>
      <xdr:row>31</xdr:row>
      <xdr:rowOff>76200</xdr:rowOff>
    </xdr:to>
    <xdr:cxnSp macro="">
      <xdr:nvCxnSpPr>
        <xdr:cNvPr id="23262" name="직선 화살표 연결선 23261"/>
        <xdr:cNvCxnSpPr/>
      </xdr:nvCxnSpPr>
      <xdr:spPr>
        <a:xfrm>
          <a:off x="11133909"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30</xdr:row>
      <xdr:rowOff>19050</xdr:rowOff>
    </xdr:from>
    <xdr:to>
      <xdr:col>37</xdr:col>
      <xdr:colOff>84001</xdr:colOff>
      <xdr:row>30</xdr:row>
      <xdr:rowOff>133350</xdr:rowOff>
    </xdr:to>
    <xdr:sp macro="" textlink="">
      <xdr:nvSpPr>
        <xdr:cNvPr id="23263" name="27"/>
        <xdr:cNvSpPr/>
      </xdr:nvSpPr>
      <xdr:spPr>
        <a:xfrm>
          <a:off x="11133909" y="47358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30</xdr:row>
      <xdr:rowOff>76200</xdr:rowOff>
    </xdr:from>
    <xdr:to>
      <xdr:col>36</xdr:col>
      <xdr:colOff>62049</xdr:colOff>
      <xdr:row>30</xdr:row>
      <xdr:rowOff>76200</xdr:rowOff>
    </xdr:to>
    <xdr:cxnSp macro="">
      <xdr:nvCxnSpPr>
        <xdr:cNvPr id="23264" name="직선 화살표 연결선 23263"/>
        <xdr:cNvCxnSpPr/>
      </xdr:nvCxnSpPr>
      <xdr:spPr>
        <a:xfrm>
          <a:off x="111339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29</xdr:row>
      <xdr:rowOff>19050</xdr:rowOff>
    </xdr:from>
    <xdr:to>
      <xdr:col>37</xdr:col>
      <xdr:colOff>84001</xdr:colOff>
      <xdr:row>29</xdr:row>
      <xdr:rowOff>133350</xdr:rowOff>
    </xdr:to>
    <xdr:sp macro="" textlink="">
      <xdr:nvSpPr>
        <xdr:cNvPr id="23265" name="26"/>
        <xdr:cNvSpPr/>
      </xdr:nvSpPr>
      <xdr:spPr>
        <a:xfrm>
          <a:off x="11133909" y="45834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29</xdr:row>
      <xdr:rowOff>76200</xdr:rowOff>
    </xdr:from>
    <xdr:to>
      <xdr:col>36</xdr:col>
      <xdr:colOff>62049</xdr:colOff>
      <xdr:row>29</xdr:row>
      <xdr:rowOff>76200</xdr:rowOff>
    </xdr:to>
    <xdr:cxnSp macro="">
      <xdr:nvCxnSpPr>
        <xdr:cNvPr id="23266" name="직선 화살표 연결선 23265"/>
        <xdr:cNvCxnSpPr/>
      </xdr:nvCxnSpPr>
      <xdr:spPr>
        <a:xfrm>
          <a:off x="1113390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28</xdr:row>
      <xdr:rowOff>19050</xdr:rowOff>
    </xdr:from>
    <xdr:to>
      <xdr:col>36</xdr:col>
      <xdr:colOff>63318</xdr:colOff>
      <xdr:row>28</xdr:row>
      <xdr:rowOff>133350</xdr:rowOff>
    </xdr:to>
    <xdr:sp macro="" textlink="">
      <xdr:nvSpPr>
        <xdr:cNvPr id="23267" name="25"/>
        <xdr:cNvSpPr/>
      </xdr:nvSpPr>
      <xdr:spPr>
        <a:xfrm>
          <a:off x="10989128" y="4431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28</xdr:row>
      <xdr:rowOff>76200</xdr:rowOff>
    </xdr:from>
    <xdr:to>
      <xdr:col>35</xdr:col>
      <xdr:colOff>62048</xdr:colOff>
      <xdr:row>28</xdr:row>
      <xdr:rowOff>76200</xdr:rowOff>
    </xdr:to>
    <xdr:cxnSp macro="">
      <xdr:nvCxnSpPr>
        <xdr:cNvPr id="23268" name="직선 화살표 연결선 23267"/>
        <xdr:cNvCxnSpPr/>
      </xdr:nvCxnSpPr>
      <xdr:spPr>
        <a:xfrm>
          <a:off x="10989128"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27</xdr:row>
      <xdr:rowOff>19050</xdr:rowOff>
    </xdr:from>
    <xdr:to>
      <xdr:col>36</xdr:col>
      <xdr:colOff>63318</xdr:colOff>
      <xdr:row>27</xdr:row>
      <xdr:rowOff>133350</xdr:rowOff>
    </xdr:to>
    <xdr:sp macro="" textlink="">
      <xdr:nvSpPr>
        <xdr:cNvPr id="23269" name="24"/>
        <xdr:cNvSpPr/>
      </xdr:nvSpPr>
      <xdr:spPr>
        <a:xfrm>
          <a:off x="10989128" y="42786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27</xdr:row>
      <xdr:rowOff>76200</xdr:rowOff>
    </xdr:from>
    <xdr:to>
      <xdr:col>35</xdr:col>
      <xdr:colOff>62048</xdr:colOff>
      <xdr:row>27</xdr:row>
      <xdr:rowOff>76200</xdr:rowOff>
    </xdr:to>
    <xdr:cxnSp macro="">
      <xdr:nvCxnSpPr>
        <xdr:cNvPr id="23270" name="직선 화살표 연결선 23269"/>
        <xdr:cNvCxnSpPr/>
      </xdr:nvCxnSpPr>
      <xdr:spPr>
        <a:xfrm>
          <a:off x="10989128"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26</xdr:row>
      <xdr:rowOff>19050</xdr:rowOff>
    </xdr:from>
    <xdr:to>
      <xdr:col>36</xdr:col>
      <xdr:colOff>63318</xdr:colOff>
      <xdr:row>26</xdr:row>
      <xdr:rowOff>133350</xdr:rowOff>
    </xdr:to>
    <xdr:sp macro="" textlink="">
      <xdr:nvSpPr>
        <xdr:cNvPr id="23271" name="23"/>
        <xdr:cNvSpPr/>
      </xdr:nvSpPr>
      <xdr:spPr>
        <a:xfrm>
          <a:off x="10989128" y="4126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26</xdr:row>
      <xdr:rowOff>76200</xdr:rowOff>
    </xdr:from>
    <xdr:to>
      <xdr:col>35</xdr:col>
      <xdr:colOff>62048</xdr:colOff>
      <xdr:row>26</xdr:row>
      <xdr:rowOff>76200</xdr:rowOff>
    </xdr:to>
    <xdr:cxnSp macro="">
      <xdr:nvCxnSpPr>
        <xdr:cNvPr id="23272" name="직선 화살표 연결선 23271"/>
        <xdr:cNvCxnSpPr/>
      </xdr:nvCxnSpPr>
      <xdr:spPr>
        <a:xfrm>
          <a:off x="10989128"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25</xdr:row>
      <xdr:rowOff>19050</xdr:rowOff>
    </xdr:from>
    <xdr:to>
      <xdr:col>35</xdr:col>
      <xdr:colOff>63318</xdr:colOff>
      <xdr:row>25</xdr:row>
      <xdr:rowOff>133350</xdr:rowOff>
    </xdr:to>
    <xdr:sp macro="" textlink="">
      <xdr:nvSpPr>
        <xdr:cNvPr id="23273" name="22"/>
        <xdr:cNvSpPr/>
      </xdr:nvSpPr>
      <xdr:spPr>
        <a:xfrm>
          <a:off x="10844349" y="39738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25</xdr:row>
      <xdr:rowOff>76200</xdr:rowOff>
    </xdr:from>
    <xdr:to>
      <xdr:col>34</xdr:col>
      <xdr:colOff>62049</xdr:colOff>
      <xdr:row>25</xdr:row>
      <xdr:rowOff>76200</xdr:rowOff>
    </xdr:to>
    <xdr:cxnSp macro="">
      <xdr:nvCxnSpPr>
        <xdr:cNvPr id="23274" name="직선 화살표 연결선 23273"/>
        <xdr:cNvCxnSpPr/>
      </xdr:nvCxnSpPr>
      <xdr:spPr>
        <a:xfrm>
          <a:off x="10844349"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24</xdr:row>
      <xdr:rowOff>19050</xdr:rowOff>
    </xdr:from>
    <xdr:to>
      <xdr:col>37</xdr:col>
      <xdr:colOff>84001</xdr:colOff>
      <xdr:row>24</xdr:row>
      <xdr:rowOff>133350</xdr:rowOff>
    </xdr:to>
    <xdr:sp macro="" textlink="">
      <xdr:nvSpPr>
        <xdr:cNvPr id="23275" name="21"/>
        <xdr:cNvSpPr/>
      </xdr:nvSpPr>
      <xdr:spPr>
        <a:xfrm>
          <a:off x="10844349" y="38214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24</xdr:row>
      <xdr:rowOff>76200</xdr:rowOff>
    </xdr:from>
    <xdr:to>
      <xdr:col>34</xdr:col>
      <xdr:colOff>62049</xdr:colOff>
      <xdr:row>24</xdr:row>
      <xdr:rowOff>76200</xdr:rowOff>
    </xdr:to>
    <xdr:cxnSp macro="">
      <xdr:nvCxnSpPr>
        <xdr:cNvPr id="23276" name="직선 화살표 연결선 23275"/>
        <xdr:cNvCxnSpPr/>
      </xdr:nvCxnSpPr>
      <xdr:spPr>
        <a:xfrm>
          <a:off x="10844349"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23</xdr:row>
      <xdr:rowOff>19050</xdr:rowOff>
    </xdr:from>
    <xdr:to>
      <xdr:col>37</xdr:col>
      <xdr:colOff>84001</xdr:colOff>
      <xdr:row>23</xdr:row>
      <xdr:rowOff>133350</xdr:rowOff>
    </xdr:to>
    <xdr:sp macro="" textlink="">
      <xdr:nvSpPr>
        <xdr:cNvPr id="23277" name="20"/>
        <xdr:cNvSpPr/>
      </xdr:nvSpPr>
      <xdr:spPr>
        <a:xfrm>
          <a:off x="10844349" y="36690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23</xdr:row>
      <xdr:rowOff>76200</xdr:rowOff>
    </xdr:from>
    <xdr:to>
      <xdr:col>34</xdr:col>
      <xdr:colOff>62049</xdr:colOff>
      <xdr:row>23</xdr:row>
      <xdr:rowOff>76200</xdr:rowOff>
    </xdr:to>
    <xdr:cxnSp macro="">
      <xdr:nvCxnSpPr>
        <xdr:cNvPr id="23278" name="직선 화살표 연결선 23277"/>
        <xdr:cNvCxnSpPr/>
      </xdr:nvCxnSpPr>
      <xdr:spPr>
        <a:xfrm>
          <a:off x="10844349"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22</xdr:row>
      <xdr:rowOff>19050</xdr:rowOff>
    </xdr:from>
    <xdr:to>
      <xdr:col>37</xdr:col>
      <xdr:colOff>84001</xdr:colOff>
      <xdr:row>22</xdr:row>
      <xdr:rowOff>133350</xdr:rowOff>
    </xdr:to>
    <xdr:sp macro="" textlink="">
      <xdr:nvSpPr>
        <xdr:cNvPr id="23279" name="19"/>
        <xdr:cNvSpPr/>
      </xdr:nvSpPr>
      <xdr:spPr>
        <a:xfrm>
          <a:off x="10844349" y="35166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22</xdr:row>
      <xdr:rowOff>76200</xdr:rowOff>
    </xdr:from>
    <xdr:to>
      <xdr:col>34</xdr:col>
      <xdr:colOff>62049</xdr:colOff>
      <xdr:row>22</xdr:row>
      <xdr:rowOff>76200</xdr:rowOff>
    </xdr:to>
    <xdr:cxnSp macro="">
      <xdr:nvCxnSpPr>
        <xdr:cNvPr id="23280" name="직선 화살표 연결선 23279"/>
        <xdr:cNvCxnSpPr/>
      </xdr:nvCxnSpPr>
      <xdr:spPr>
        <a:xfrm>
          <a:off x="10844349"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21</xdr:row>
      <xdr:rowOff>19050</xdr:rowOff>
    </xdr:from>
    <xdr:to>
      <xdr:col>37</xdr:col>
      <xdr:colOff>84001</xdr:colOff>
      <xdr:row>21</xdr:row>
      <xdr:rowOff>133350</xdr:rowOff>
    </xdr:to>
    <xdr:sp macro="" textlink="">
      <xdr:nvSpPr>
        <xdr:cNvPr id="23281" name="18"/>
        <xdr:cNvSpPr/>
      </xdr:nvSpPr>
      <xdr:spPr>
        <a:xfrm>
          <a:off x="10844349" y="33642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21</xdr:row>
      <xdr:rowOff>76200</xdr:rowOff>
    </xdr:from>
    <xdr:to>
      <xdr:col>34</xdr:col>
      <xdr:colOff>62049</xdr:colOff>
      <xdr:row>21</xdr:row>
      <xdr:rowOff>76200</xdr:rowOff>
    </xdr:to>
    <xdr:cxnSp macro="">
      <xdr:nvCxnSpPr>
        <xdr:cNvPr id="23282" name="직선 화살표 연결선 23281"/>
        <xdr:cNvCxnSpPr/>
      </xdr:nvCxnSpPr>
      <xdr:spPr>
        <a:xfrm>
          <a:off x="10844349"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20</xdr:row>
      <xdr:rowOff>19050</xdr:rowOff>
    </xdr:from>
    <xdr:to>
      <xdr:col>36</xdr:col>
      <xdr:colOff>63318</xdr:colOff>
      <xdr:row>20</xdr:row>
      <xdr:rowOff>133350</xdr:rowOff>
    </xdr:to>
    <xdr:sp macro="" textlink="">
      <xdr:nvSpPr>
        <xdr:cNvPr id="23283" name="17"/>
        <xdr:cNvSpPr/>
      </xdr:nvSpPr>
      <xdr:spPr>
        <a:xfrm>
          <a:off x="10989128" y="321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20</xdr:row>
      <xdr:rowOff>76200</xdr:rowOff>
    </xdr:from>
    <xdr:to>
      <xdr:col>35</xdr:col>
      <xdr:colOff>62048</xdr:colOff>
      <xdr:row>20</xdr:row>
      <xdr:rowOff>76200</xdr:rowOff>
    </xdr:to>
    <xdr:cxnSp macro="">
      <xdr:nvCxnSpPr>
        <xdr:cNvPr id="23284" name="직선 화살표 연결선 23283"/>
        <xdr:cNvCxnSpPr/>
      </xdr:nvCxnSpPr>
      <xdr:spPr>
        <a:xfrm>
          <a:off x="10989128"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19</xdr:row>
      <xdr:rowOff>19050</xdr:rowOff>
    </xdr:from>
    <xdr:to>
      <xdr:col>35</xdr:col>
      <xdr:colOff>63318</xdr:colOff>
      <xdr:row>19</xdr:row>
      <xdr:rowOff>133350</xdr:rowOff>
    </xdr:to>
    <xdr:sp macro="" textlink="">
      <xdr:nvSpPr>
        <xdr:cNvPr id="23285" name="16"/>
        <xdr:cNvSpPr/>
      </xdr:nvSpPr>
      <xdr:spPr>
        <a:xfrm>
          <a:off x="10844349" y="30594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19</xdr:row>
      <xdr:rowOff>76200</xdr:rowOff>
    </xdr:from>
    <xdr:to>
      <xdr:col>34</xdr:col>
      <xdr:colOff>62049</xdr:colOff>
      <xdr:row>19</xdr:row>
      <xdr:rowOff>76200</xdr:rowOff>
    </xdr:to>
    <xdr:cxnSp macro="">
      <xdr:nvCxnSpPr>
        <xdr:cNvPr id="23286" name="직선 화살표 연결선 23285"/>
        <xdr:cNvCxnSpPr/>
      </xdr:nvCxnSpPr>
      <xdr:spPr>
        <a:xfrm>
          <a:off x="10844349"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18</xdr:row>
      <xdr:rowOff>19050</xdr:rowOff>
    </xdr:from>
    <xdr:to>
      <xdr:col>36</xdr:col>
      <xdr:colOff>63318</xdr:colOff>
      <xdr:row>18</xdr:row>
      <xdr:rowOff>133350</xdr:rowOff>
    </xdr:to>
    <xdr:sp macro="" textlink="">
      <xdr:nvSpPr>
        <xdr:cNvPr id="23287" name="15"/>
        <xdr:cNvSpPr/>
      </xdr:nvSpPr>
      <xdr:spPr>
        <a:xfrm>
          <a:off x="10844349" y="2907030"/>
          <a:ext cx="290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18</xdr:row>
      <xdr:rowOff>76200</xdr:rowOff>
    </xdr:from>
    <xdr:to>
      <xdr:col>34</xdr:col>
      <xdr:colOff>62049</xdr:colOff>
      <xdr:row>18</xdr:row>
      <xdr:rowOff>76200</xdr:rowOff>
    </xdr:to>
    <xdr:cxnSp macro="">
      <xdr:nvCxnSpPr>
        <xdr:cNvPr id="23288" name="직선 화살표 연결선 23287"/>
        <xdr:cNvCxnSpPr/>
      </xdr:nvCxnSpPr>
      <xdr:spPr>
        <a:xfrm>
          <a:off x="10844349"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17</xdr:row>
      <xdr:rowOff>19050</xdr:rowOff>
    </xdr:from>
    <xdr:to>
      <xdr:col>35</xdr:col>
      <xdr:colOff>63318</xdr:colOff>
      <xdr:row>17</xdr:row>
      <xdr:rowOff>133350</xdr:rowOff>
    </xdr:to>
    <xdr:sp macro="" textlink="">
      <xdr:nvSpPr>
        <xdr:cNvPr id="23289" name="14"/>
        <xdr:cNvSpPr/>
      </xdr:nvSpPr>
      <xdr:spPr>
        <a:xfrm>
          <a:off x="10844349" y="2754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17</xdr:row>
      <xdr:rowOff>76200</xdr:rowOff>
    </xdr:from>
    <xdr:to>
      <xdr:col>34</xdr:col>
      <xdr:colOff>62049</xdr:colOff>
      <xdr:row>17</xdr:row>
      <xdr:rowOff>76200</xdr:rowOff>
    </xdr:to>
    <xdr:cxnSp macro="">
      <xdr:nvCxnSpPr>
        <xdr:cNvPr id="23290" name="직선 화살표 연결선 23289"/>
        <xdr:cNvCxnSpPr/>
      </xdr:nvCxnSpPr>
      <xdr:spPr>
        <a:xfrm>
          <a:off x="10844349"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16</xdr:row>
      <xdr:rowOff>19050</xdr:rowOff>
    </xdr:from>
    <xdr:to>
      <xdr:col>36</xdr:col>
      <xdr:colOff>63318</xdr:colOff>
      <xdr:row>16</xdr:row>
      <xdr:rowOff>133350</xdr:rowOff>
    </xdr:to>
    <xdr:sp macro="" textlink="">
      <xdr:nvSpPr>
        <xdr:cNvPr id="23291" name="13"/>
        <xdr:cNvSpPr/>
      </xdr:nvSpPr>
      <xdr:spPr>
        <a:xfrm>
          <a:off x="10844349" y="2602230"/>
          <a:ext cx="290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16</xdr:row>
      <xdr:rowOff>76200</xdr:rowOff>
    </xdr:from>
    <xdr:to>
      <xdr:col>34</xdr:col>
      <xdr:colOff>62049</xdr:colOff>
      <xdr:row>16</xdr:row>
      <xdr:rowOff>76200</xdr:rowOff>
    </xdr:to>
    <xdr:cxnSp macro="">
      <xdr:nvCxnSpPr>
        <xdr:cNvPr id="23292" name="직선 화살표 연결선 23291"/>
        <xdr:cNvCxnSpPr/>
      </xdr:nvCxnSpPr>
      <xdr:spPr>
        <a:xfrm>
          <a:off x="10844349"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15</xdr:row>
      <xdr:rowOff>19050</xdr:rowOff>
    </xdr:from>
    <xdr:to>
      <xdr:col>38</xdr:col>
      <xdr:colOff>44268</xdr:colOff>
      <xdr:row>15</xdr:row>
      <xdr:rowOff>146050</xdr:rowOff>
    </xdr:to>
    <xdr:sp macro="" textlink="">
      <xdr:nvSpPr>
        <xdr:cNvPr id="23293" name="다이아몬드 23292"/>
        <xdr:cNvSpPr/>
      </xdr:nvSpPr>
      <xdr:spPr>
        <a:xfrm>
          <a:off x="11278688" y="2449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14</xdr:row>
      <xdr:rowOff>19050</xdr:rowOff>
    </xdr:from>
    <xdr:to>
      <xdr:col>38</xdr:col>
      <xdr:colOff>84001</xdr:colOff>
      <xdr:row>14</xdr:row>
      <xdr:rowOff>133350</xdr:rowOff>
    </xdr:to>
    <xdr:sp macro="" textlink="">
      <xdr:nvSpPr>
        <xdr:cNvPr id="23294" name="11"/>
        <xdr:cNvSpPr/>
      </xdr:nvSpPr>
      <xdr:spPr>
        <a:xfrm>
          <a:off x="11278688" y="22974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14</xdr:row>
      <xdr:rowOff>76200</xdr:rowOff>
    </xdr:from>
    <xdr:to>
      <xdr:col>37</xdr:col>
      <xdr:colOff>62048</xdr:colOff>
      <xdr:row>14</xdr:row>
      <xdr:rowOff>76200</xdr:rowOff>
    </xdr:to>
    <xdr:cxnSp macro="">
      <xdr:nvCxnSpPr>
        <xdr:cNvPr id="23295" name="직선 화살표 연결선 23294"/>
        <xdr:cNvCxnSpPr/>
      </xdr:nvCxnSpPr>
      <xdr:spPr>
        <a:xfrm>
          <a:off x="11278688"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13</xdr:row>
      <xdr:rowOff>19050</xdr:rowOff>
    </xdr:from>
    <xdr:to>
      <xdr:col>38</xdr:col>
      <xdr:colOff>84001</xdr:colOff>
      <xdr:row>13</xdr:row>
      <xdr:rowOff>133350</xdr:rowOff>
    </xdr:to>
    <xdr:sp macro="" textlink="">
      <xdr:nvSpPr>
        <xdr:cNvPr id="23296" name="10"/>
        <xdr:cNvSpPr/>
      </xdr:nvSpPr>
      <xdr:spPr>
        <a:xfrm>
          <a:off x="11320054" y="2145030"/>
          <a:ext cx="1253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13</xdr:row>
      <xdr:rowOff>76200</xdr:rowOff>
    </xdr:from>
    <xdr:to>
      <xdr:col>37</xdr:col>
      <xdr:colOff>103414</xdr:colOff>
      <xdr:row>13</xdr:row>
      <xdr:rowOff>76200</xdr:rowOff>
    </xdr:to>
    <xdr:cxnSp macro="">
      <xdr:nvCxnSpPr>
        <xdr:cNvPr id="23297" name="직선 화살표 연결선 23296"/>
        <xdr:cNvCxnSpPr/>
      </xdr:nvCxnSpPr>
      <xdr:spPr>
        <a:xfrm>
          <a:off x="11320054"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12</xdr:row>
      <xdr:rowOff>19050</xdr:rowOff>
    </xdr:from>
    <xdr:to>
      <xdr:col>37</xdr:col>
      <xdr:colOff>84001</xdr:colOff>
      <xdr:row>12</xdr:row>
      <xdr:rowOff>133350</xdr:rowOff>
    </xdr:to>
    <xdr:sp macro="" textlink="">
      <xdr:nvSpPr>
        <xdr:cNvPr id="23298" name="0"/>
        <xdr:cNvSpPr/>
      </xdr:nvSpPr>
      <xdr:spPr>
        <a:xfrm>
          <a:off x="11133909" y="19926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12</xdr:row>
      <xdr:rowOff>76200</xdr:rowOff>
    </xdr:from>
    <xdr:to>
      <xdr:col>36</xdr:col>
      <xdr:colOff>62049</xdr:colOff>
      <xdr:row>12</xdr:row>
      <xdr:rowOff>76200</xdr:rowOff>
    </xdr:to>
    <xdr:cxnSp macro="">
      <xdr:nvCxnSpPr>
        <xdr:cNvPr id="23299" name="직선 화살표 연결선 23298"/>
        <xdr:cNvCxnSpPr/>
      </xdr:nvCxnSpPr>
      <xdr:spPr>
        <a:xfrm>
          <a:off x="1113390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11</xdr:row>
      <xdr:rowOff>19050</xdr:rowOff>
    </xdr:from>
    <xdr:to>
      <xdr:col>36</xdr:col>
      <xdr:colOff>63318</xdr:colOff>
      <xdr:row>11</xdr:row>
      <xdr:rowOff>133350</xdr:rowOff>
    </xdr:to>
    <xdr:sp macro="" textlink="">
      <xdr:nvSpPr>
        <xdr:cNvPr id="23300" name="8"/>
        <xdr:cNvSpPr/>
      </xdr:nvSpPr>
      <xdr:spPr>
        <a:xfrm>
          <a:off x="10989128" y="1840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11</xdr:row>
      <xdr:rowOff>76200</xdr:rowOff>
    </xdr:from>
    <xdr:to>
      <xdr:col>35</xdr:col>
      <xdr:colOff>62048</xdr:colOff>
      <xdr:row>11</xdr:row>
      <xdr:rowOff>76200</xdr:rowOff>
    </xdr:to>
    <xdr:cxnSp macro="">
      <xdr:nvCxnSpPr>
        <xdr:cNvPr id="23301" name="직선 화살표 연결선 23300"/>
        <xdr:cNvCxnSpPr/>
      </xdr:nvCxnSpPr>
      <xdr:spPr>
        <a:xfrm>
          <a:off x="10989128"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10</xdr:row>
      <xdr:rowOff>19050</xdr:rowOff>
    </xdr:from>
    <xdr:to>
      <xdr:col>35</xdr:col>
      <xdr:colOff>63318</xdr:colOff>
      <xdr:row>10</xdr:row>
      <xdr:rowOff>133350</xdr:rowOff>
    </xdr:to>
    <xdr:sp macro="" textlink="">
      <xdr:nvSpPr>
        <xdr:cNvPr id="23302" name="7"/>
        <xdr:cNvSpPr/>
      </xdr:nvSpPr>
      <xdr:spPr>
        <a:xfrm>
          <a:off x="10865031" y="1687830"/>
          <a:ext cx="1253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10</xdr:row>
      <xdr:rowOff>76200</xdr:rowOff>
    </xdr:from>
    <xdr:to>
      <xdr:col>34</xdr:col>
      <xdr:colOff>82731</xdr:colOff>
      <xdr:row>10</xdr:row>
      <xdr:rowOff>76200</xdr:rowOff>
    </xdr:to>
    <xdr:cxnSp macro="">
      <xdr:nvCxnSpPr>
        <xdr:cNvPr id="23303" name="직선 화살표 연결선 23302"/>
        <xdr:cNvCxnSpPr/>
      </xdr:nvCxnSpPr>
      <xdr:spPr>
        <a:xfrm>
          <a:off x="1086503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9</xdr:row>
      <xdr:rowOff>19050</xdr:rowOff>
    </xdr:from>
    <xdr:to>
      <xdr:col>34</xdr:col>
      <xdr:colOff>84001</xdr:colOff>
      <xdr:row>9</xdr:row>
      <xdr:rowOff>133350</xdr:rowOff>
    </xdr:to>
    <xdr:sp macro="" textlink="">
      <xdr:nvSpPr>
        <xdr:cNvPr id="23304" name="6"/>
        <xdr:cNvSpPr/>
      </xdr:nvSpPr>
      <xdr:spPr>
        <a:xfrm>
          <a:off x="10699569" y="15354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9</xdr:row>
      <xdr:rowOff>76200</xdr:rowOff>
    </xdr:from>
    <xdr:to>
      <xdr:col>33</xdr:col>
      <xdr:colOff>62049</xdr:colOff>
      <xdr:row>9</xdr:row>
      <xdr:rowOff>76200</xdr:rowOff>
    </xdr:to>
    <xdr:cxnSp macro="">
      <xdr:nvCxnSpPr>
        <xdr:cNvPr id="23305" name="직선 화살표 연결선 23304"/>
        <xdr:cNvCxnSpPr/>
      </xdr:nvCxnSpPr>
      <xdr:spPr>
        <a:xfrm>
          <a:off x="10699569"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8</xdr:row>
      <xdr:rowOff>19050</xdr:rowOff>
    </xdr:from>
    <xdr:to>
      <xdr:col>38</xdr:col>
      <xdr:colOff>84001</xdr:colOff>
      <xdr:row>8</xdr:row>
      <xdr:rowOff>133350</xdr:rowOff>
    </xdr:to>
    <xdr:sp macro="" textlink="">
      <xdr:nvSpPr>
        <xdr:cNvPr id="23306" name="5"/>
        <xdr:cNvSpPr/>
      </xdr:nvSpPr>
      <xdr:spPr>
        <a:xfrm>
          <a:off x="10699569" y="1383030"/>
          <a:ext cx="7458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8</xdr:row>
      <xdr:rowOff>76200</xdr:rowOff>
    </xdr:from>
    <xdr:to>
      <xdr:col>33</xdr:col>
      <xdr:colOff>62049</xdr:colOff>
      <xdr:row>8</xdr:row>
      <xdr:rowOff>76200</xdr:rowOff>
    </xdr:to>
    <xdr:cxnSp macro="">
      <xdr:nvCxnSpPr>
        <xdr:cNvPr id="23307" name="직선 화살표 연결선 23306"/>
        <xdr:cNvCxnSpPr/>
      </xdr:nvCxnSpPr>
      <xdr:spPr>
        <a:xfrm>
          <a:off x="10699569"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7</xdr:row>
      <xdr:rowOff>19050</xdr:rowOff>
    </xdr:from>
    <xdr:to>
      <xdr:col>34</xdr:col>
      <xdr:colOff>63319</xdr:colOff>
      <xdr:row>7</xdr:row>
      <xdr:rowOff>133350</xdr:rowOff>
    </xdr:to>
    <xdr:sp macro="" textlink="">
      <xdr:nvSpPr>
        <xdr:cNvPr id="23308" name="4"/>
        <xdr:cNvSpPr/>
      </xdr:nvSpPr>
      <xdr:spPr>
        <a:xfrm>
          <a:off x="10554788" y="1230630"/>
          <a:ext cx="2908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7</xdr:row>
      <xdr:rowOff>76200</xdr:rowOff>
    </xdr:from>
    <xdr:to>
      <xdr:col>32</xdr:col>
      <xdr:colOff>62048</xdr:colOff>
      <xdr:row>7</xdr:row>
      <xdr:rowOff>76200</xdr:rowOff>
    </xdr:to>
    <xdr:cxnSp macro="">
      <xdr:nvCxnSpPr>
        <xdr:cNvPr id="23309" name="직선 화살표 연결선 23308"/>
        <xdr:cNvCxnSpPr/>
      </xdr:nvCxnSpPr>
      <xdr:spPr>
        <a:xfrm>
          <a:off x="10554788"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19050</xdr:rowOff>
    </xdr:from>
    <xdr:to>
      <xdr:col>33</xdr:col>
      <xdr:colOff>63318</xdr:colOff>
      <xdr:row>6</xdr:row>
      <xdr:rowOff>133350</xdr:rowOff>
    </xdr:to>
    <xdr:sp macro="" textlink="">
      <xdr:nvSpPr>
        <xdr:cNvPr id="23310" name="3"/>
        <xdr:cNvSpPr/>
      </xdr:nvSpPr>
      <xdr:spPr>
        <a:xfrm>
          <a:off x="10410009" y="1078230"/>
          <a:ext cx="290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76200</xdr:rowOff>
    </xdr:from>
    <xdr:to>
      <xdr:col>31</xdr:col>
      <xdr:colOff>62049</xdr:colOff>
      <xdr:row>6</xdr:row>
      <xdr:rowOff>76200</xdr:rowOff>
    </xdr:to>
    <xdr:cxnSp macro="">
      <xdr:nvCxnSpPr>
        <xdr:cNvPr id="23311" name="직선 화살표 연결선 23310"/>
        <xdr:cNvCxnSpPr/>
      </xdr:nvCxnSpPr>
      <xdr:spPr>
        <a:xfrm>
          <a:off x="10410009"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19050</xdr:rowOff>
    </xdr:from>
    <xdr:to>
      <xdr:col>34</xdr:col>
      <xdr:colOff>63319</xdr:colOff>
      <xdr:row>5</xdr:row>
      <xdr:rowOff>133350</xdr:rowOff>
    </xdr:to>
    <xdr:sp macro="" textlink="">
      <xdr:nvSpPr>
        <xdr:cNvPr id="23312" name="2"/>
        <xdr:cNvSpPr/>
      </xdr:nvSpPr>
      <xdr:spPr>
        <a:xfrm>
          <a:off x="10410009" y="925830"/>
          <a:ext cx="4356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76200</xdr:rowOff>
    </xdr:from>
    <xdr:to>
      <xdr:col>31</xdr:col>
      <xdr:colOff>62049</xdr:colOff>
      <xdr:row>5</xdr:row>
      <xdr:rowOff>76200</xdr:rowOff>
    </xdr:to>
    <xdr:cxnSp macro="">
      <xdr:nvCxnSpPr>
        <xdr:cNvPr id="23313" name="직선 화살표 연결선 23312"/>
        <xdr:cNvCxnSpPr/>
      </xdr:nvCxnSpPr>
      <xdr:spPr>
        <a:xfrm>
          <a:off x="10410009"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19050</xdr:rowOff>
    </xdr:from>
    <xdr:to>
      <xdr:col>38</xdr:col>
      <xdr:colOff>84001</xdr:colOff>
      <xdr:row>4</xdr:row>
      <xdr:rowOff>133350</xdr:rowOff>
    </xdr:to>
    <xdr:sp macro="" textlink="">
      <xdr:nvSpPr>
        <xdr:cNvPr id="23314" name="1"/>
        <xdr:cNvSpPr/>
      </xdr:nvSpPr>
      <xdr:spPr>
        <a:xfrm>
          <a:off x="10410009" y="773430"/>
          <a:ext cx="1035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76200</xdr:rowOff>
    </xdr:from>
    <xdr:to>
      <xdr:col>31</xdr:col>
      <xdr:colOff>62049</xdr:colOff>
      <xdr:row>4</xdr:row>
      <xdr:rowOff>76200</xdr:rowOff>
    </xdr:to>
    <xdr:cxnSp macro="">
      <xdr:nvCxnSpPr>
        <xdr:cNvPr id="23315" name="직선 화살표 연결선 23314"/>
        <xdr:cNvCxnSpPr/>
      </xdr:nvCxnSpPr>
      <xdr:spPr>
        <a:xfrm>
          <a:off x="10410009"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1412</v>
      </c>
      <c r="C6" s="72"/>
      <c r="D6" s="72"/>
      <c r="E6" s="72" t="s">
        <v>11</v>
      </c>
      <c r="F6" s="72"/>
    </row>
    <row r="7" spans="1:64">
      <c r="A7" s="71" t="s">
        <v>16</v>
      </c>
      <c r="B7" s="71" t="s">
        <v>10</v>
      </c>
      <c r="C7" s="72"/>
      <c r="D7" s="72"/>
      <c r="E7" s="72" t="s">
        <v>11</v>
      </c>
      <c r="F7" s="72"/>
    </row>
    <row r="8" spans="1:64">
      <c r="A8" s="71" t="s">
        <v>17</v>
      </c>
      <c r="B8" s="74" t="s">
        <v>1556</v>
      </c>
      <c r="C8" s="72" t="s">
        <v>1410</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1282</v>
      </c>
      <c r="D11" s="70" t="s">
        <v>23</v>
      </c>
      <c r="E11" s="79">
        <v>1</v>
      </c>
      <c r="F11" s="80" t="s">
        <v>24</v>
      </c>
      <c r="G11" s="81">
        <v>44447</v>
      </c>
      <c r="H11" s="80" t="s">
        <v>25</v>
      </c>
      <c r="I11" s="81">
        <v>44496</v>
      </c>
      <c r="J11" s="73" t="s">
        <v>403</v>
      </c>
      <c r="K11" s="73" t="s">
        <v>1607</v>
      </c>
      <c r="L11" s="73" t="s">
        <v>400</v>
      </c>
      <c r="M11" s="73">
        <v>1</v>
      </c>
      <c r="N11" s="78" t="s">
        <v>26</v>
      </c>
      <c r="O11" s="70">
        <v>0</v>
      </c>
      <c r="P11" s="70" t="s">
        <v>27</v>
      </c>
      <c r="Q11" s="78" t="s">
        <v>1367</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1251</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968</v>
      </c>
      <c r="AI12" s="73">
        <v>9</v>
      </c>
      <c r="AJ12" s="73" t="s">
        <v>1247</v>
      </c>
      <c r="AK12" s="73">
        <v>1</v>
      </c>
      <c r="AL12" s="73" t="s">
        <v>1248</v>
      </c>
      <c r="AM12" s="73">
        <v>1</v>
      </c>
      <c r="AN12" s="73" t="s">
        <v>1249</v>
      </c>
      <c r="AO12" s="73">
        <v>1</v>
      </c>
      <c r="AP12" s="73" t="s">
        <v>1250</v>
      </c>
      <c r="AQ12" s="135" t="s">
        <v>1364</v>
      </c>
      <c r="AR12" s="73" t="s">
        <v>1402</v>
      </c>
      <c r="AS12" s="73">
        <v>-4131</v>
      </c>
    </row>
    <row r="13" spans="1:64">
      <c r="A13" s="72" t="s">
        <v>387</v>
      </c>
      <c r="B13" s="78" t="s">
        <v>28</v>
      </c>
      <c r="C13" s="70">
        <v>1</v>
      </c>
      <c r="D13" s="78" t="s">
        <v>29</v>
      </c>
      <c r="E13" s="70" t="s">
        <v>1312</v>
      </c>
      <c r="F13" s="70" t="s">
        <v>30</v>
      </c>
      <c r="G13" s="80" t="s">
        <v>528</v>
      </c>
      <c r="H13" s="80" t="s">
        <v>31</v>
      </c>
      <c r="I13" s="73" t="s">
        <v>528</v>
      </c>
    </row>
    <row r="14" spans="1:64">
      <c r="A14" s="72" t="s">
        <v>388</v>
      </c>
      <c r="B14" s="79" t="s">
        <v>32</v>
      </c>
      <c r="C14" s="79" t="s">
        <v>1561</v>
      </c>
      <c r="D14" s="79" t="s">
        <v>33</v>
      </c>
      <c r="E14" s="79" t="s">
        <v>540</v>
      </c>
      <c r="F14" s="79" t="s">
        <v>34</v>
      </c>
      <c r="G14" s="79" t="s">
        <v>1562</v>
      </c>
      <c r="H14" s="79" t="s">
        <v>35</v>
      </c>
      <c r="I14" s="79" t="b">
        <v>0</v>
      </c>
      <c r="J14" s="79" t="s">
        <v>36</v>
      </c>
      <c r="K14" s="79" t="s">
        <v>1563</v>
      </c>
      <c r="L14" s="79" t="s">
        <v>37</v>
      </c>
      <c r="M14" s="79" t="s">
        <v>549</v>
      </c>
      <c r="N14" s="79" t="s">
        <v>38</v>
      </c>
      <c r="O14" s="79" t="s">
        <v>1562</v>
      </c>
      <c r="P14" s="79" t="s">
        <v>39</v>
      </c>
      <c r="Q14" s="79" t="b">
        <v>0</v>
      </c>
      <c r="R14" s="79" t="s">
        <v>40</v>
      </c>
      <c r="S14" s="79" t="s">
        <v>1564</v>
      </c>
      <c r="T14" s="79" t="s">
        <v>41</v>
      </c>
      <c r="U14" s="79" t="s">
        <v>550</v>
      </c>
      <c r="V14" s="79" t="s">
        <v>42</v>
      </c>
      <c r="W14" s="79" t="s">
        <v>1562</v>
      </c>
      <c r="X14" s="79" t="s">
        <v>43</v>
      </c>
      <c r="Y14" s="79" t="b">
        <v>1</v>
      </c>
      <c r="Z14" s="79" t="s">
        <v>44</v>
      </c>
      <c r="AA14" s="79" t="s">
        <v>999</v>
      </c>
      <c r="AB14" s="79" t="s">
        <v>45</v>
      </c>
      <c r="AC14" s="79" t="s">
        <v>998</v>
      </c>
      <c r="AD14" s="79" t="s">
        <v>46</v>
      </c>
      <c r="AE14" s="79" t="s">
        <v>1000</v>
      </c>
      <c r="AF14" s="79" t="s">
        <v>47</v>
      </c>
      <c r="AG14" s="79" t="b">
        <v>1</v>
      </c>
      <c r="AH14" s="79" t="s">
        <v>48</v>
      </c>
      <c r="AI14" s="79" t="s">
        <v>1001</v>
      </c>
      <c r="AJ14" s="79" t="s">
        <v>49</v>
      </c>
      <c r="AK14" s="79" t="s">
        <v>1002</v>
      </c>
      <c r="AL14" s="79" t="s">
        <v>50</v>
      </c>
      <c r="AM14" s="79" t="s">
        <v>1003</v>
      </c>
      <c r="AN14" s="79" t="s">
        <v>51</v>
      </c>
      <c r="AO14" s="79" t="b">
        <v>0</v>
      </c>
      <c r="AP14" s="79" t="s">
        <v>52</v>
      </c>
      <c r="AQ14" s="79" t="s">
        <v>542</v>
      </c>
      <c r="AR14" s="79" t="s">
        <v>53</v>
      </c>
      <c r="AS14" s="79" t="s">
        <v>551</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B10" sqref="B10"/>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0" t="s">
        <v>1414</v>
      </c>
      <c r="B1" s="251"/>
      <c r="C1" s="251"/>
      <c r="D1" s="251"/>
      <c r="E1" s="251"/>
      <c r="F1" s="251"/>
      <c r="G1" s="251"/>
      <c r="H1" s="182"/>
      <c r="I1" s="182"/>
      <c r="J1" s="257" t="s">
        <v>1558</v>
      </c>
      <c r="K1" s="258"/>
      <c r="L1" s="258"/>
      <c r="M1" s="183"/>
    </row>
    <row r="2" spans="1:13" s="104" customFormat="1" ht="33.75" customHeight="1">
      <c r="A2" s="252"/>
      <c r="B2" s="253"/>
      <c r="C2" s="253"/>
      <c r="D2" s="253"/>
      <c r="E2" s="253"/>
      <c r="F2" s="253"/>
      <c r="G2" s="253"/>
      <c r="H2" s="261" t="s">
        <v>1415</v>
      </c>
      <c r="I2" s="262"/>
      <c r="J2" s="262"/>
      <c r="K2" s="262"/>
      <c r="L2" s="262"/>
      <c r="M2" s="184"/>
    </row>
    <row r="4" spans="1:13" ht="17.25" customHeight="1">
      <c r="B4" s="259" t="s">
        <v>1416</v>
      </c>
      <c r="C4" s="259"/>
      <c r="D4" s="259"/>
      <c r="E4" s="259"/>
      <c r="F4" s="259"/>
      <c r="G4" s="259"/>
      <c r="H4" s="259"/>
      <c r="I4" s="259"/>
      <c r="J4" s="259"/>
      <c r="K4" s="259"/>
      <c r="L4" s="259"/>
    </row>
    <row r="5" spans="1:13" ht="27.75" customHeight="1">
      <c r="B5" s="259"/>
      <c r="C5" s="259"/>
      <c r="D5" s="259"/>
      <c r="E5" s="259"/>
      <c r="F5" s="259"/>
      <c r="G5" s="259"/>
      <c r="H5" s="259"/>
      <c r="I5" s="259"/>
      <c r="J5" s="259"/>
      <c r="K5" s="259"/>
      <c r="L5" s="259"/>
    </row>
    <row r="6" spans="1:13" s="104" customFormat="1" ht="13.8">
      <c r="B6" s="105"/>
    </row>
    <row r="7" spans="1:13" s="104" customFormat="1" ht="18">
      <c r="B7" s="106" t="s">
        <v>1417</v>
      </c>
      <c r="D7" s="107"/>
    </row>
    <row r="8" spans="1:13" s="104" customFormat="1" ht="7.5" customHeight="1">
      <c r="B8" s="105"/>
    </row>
    <row r="9" spans="1:13" s="104" customFormat="1" ht="34.5" customHeight="1" thickBot="1">
      <c r="A9" s="108"/>
      <c r="B9" s="109" t="s">
        <v>533</v>
      </c>
      <c r="C9" s="108"/>
      <c r="D9" s="255" t="s">
        <v>1143</v>
      </c>
      <c r="E9" s="255"/>
      <c r="F9" s="255"/>
      <c r="G9" s="255"/>
      <c r="H9" s="255"/>
      <c r="I9" s="255"/>
      <c r="J9" s="255"/>
      <c r="K9" s="255"/>
      <c r="L9" s="255"/>
    </row>
    <row r="10" spans="1:13" s="104" customFormat="1" ht="27.75" customHeight="1" thickTop="1" thickBot="1">
      <c r="A10" s="108"/>
      <c r="B10" s="110" t="s">
        <v>534</v>
      </c>
      <c r="C10" s="108"/>
      <c r="D10" s="255" t="s">
        <v>1418</v>
      </c>
      <c r="E10" s="255"/>
      <c r="F10" s="255"/>
      <c r="G10" s="255"/>
      <c r="H10" s="255"/>
      <c r="I10" s="255"/>
      <c r="J10" s="255"/>
      <c r="K10" s="255"/>
      <c r="L10" s="255"/>
    </row>
    <row r="11" spans="1:13" s="104" customFormat="1" ht="27.75" customHeight="1" thickTop="1" thickBot="1">
      <c r="A11" s="108"/>
      <c r="B11" s="111" t="s">
        <v>535</v>
      </c>
      <c r="C11" s="108"/>
      <c r="D11" s="255" t="s">
        <v>1419</v>
      </c>
      <c r="E11" s="255"/>
      <c r="F11" s="255"/>
      <c r="G11" s="255"/>
      <c r="H11" s="255"/>
      <c r="I11" s="255"/>
      <c r="J11" s="255"/>
      <c r="K11" s="255"/>
      <c r="L11" s="255"/>
    </row>
    <row r="12" spans="1:13" s="104" customFormat="1" ht="27.75" customHeight="1" thickTop="1" thickBot="1">
      <c r="A12" s="108"/>
      <c r="B12" s="112" t="s">
        <v>536</v>
      </c>
      <c r="C12" s="108"/>
      <c r="D12" s="255" t="s">
        <v>1420</v>
      </c>
      <c r="E12" s="255"/>
      <c r="F12" s="255"/>
      <c r="G12" s="255"/>
      <c r="H12" s="255"/>
      <c r="I12" s="255"/>
      <c r="J12" s="255"/>
      <c r="K12" s="255"/>
      <c r="L12" s="255"/>
    </row>
    <row r="13" spans="1:13" s="104" customFormat="1" ht="27.75" customHeight="1" thickTop="1" thickBot="1">
      <c r="A13" s="108"/>
      <c r="B13" s="113" t="s">
        <v>1087</v>
      </c>
      <c r="C13" s="108"/>
      <c r="D13" s="255" t="s">
        <v>1184</v>
      </c>
      <c r="E13" s="255"/>
      <c r="F13" s="255"/>
      <c r="G13" s="255"/>
      <c r="H13" s="255"/>
      <c r="I13" s="255"/>
      <c r="J13" s="255"/>
      <c r="K13" s="255"/>
      <c r="L13" s="255"/>
    </row>
    <row r="14" spans="1:13" s="104" customFormat="1" ht="27.75" customHeight="1" thickTop="1" thickBot="1">
      <c r="A14" s="108"/>
      <c r="B14" s="113" t="s">
        <v>1004</v>
      </c>
      <c r="C14" s="108"/>
      <c r="D14" s="260" t="s">
        <v>1421</v>
      </c>
      <c r="E14" s="260"/>
      <c r="F14" s="260"/>
      <c r="G14" s="260"/>
      <c r="H14" s="260"/>
      <c r="I14" s="260"/>
      <c r="J14" s="260"/>
      <c r="K14" s="260"/>
      <c r="L14" s="260"/>
    </row>
    <row r="15" spans="1:13" s="104" customFormat="1" ht="27.75" customHeight="1" thickTop="1" thickBot="1">
      <c r="A15" s="108"/>
      <c r="B15" s="114" t="s">
        <v>537</v>
      </c>
      <c r="C15" s="108"/>
      <c r="D15" s="255" t="s">
        <v>1422</v>
      </c>
      <c r="E15" s="255"/>
      <c r="F15" s="255"/>
      <c r="G15" s="255"/>
      <c r="H15" s="255"/>
      <c r="I15" s="255"/>
      <c r="J15" s="255"/>
      <c r="K15" s="255"/>
      <c r="L15" s="255"/>
    </row>
    <row r="16" spans="1:13" ht="16.2" thickTop="1">
      <c r="A16" s="115"/>
      <c r="B16" s="116"/>
      <c r="C16" s="115"/>
      <c r="D16" s="117"/>
      <c r="E16" s="117"/>
      <c r="F16" s="117"/>
      <c r="G16" s="117"/>
      <c r="H16" s="117"/>
      <c r="I16" s="117"/>
      <c r="J16" s="117"/>
      <c r="K16" s="117"/>
      <c r="L16" s="117"/>
    </row>
    <row r="17" spans="2:12" s="104" customFormat="1" ht="18">
      <c r="B17" s="106" t="s">
        <v>1423</v>
      </c>
      <c r="D17" s="107"/>
    </row>
    <row r="18" spans="2:12" s="104" customFormat="1" ht="5.25" customHeight="1">
      <c r="B18" s="118"/>
      <c r="D18" s="107"/>
    </row>
    <row r="19" spans="2:12" s="104" customFormat="1" ht="24.75" customHeight="1" thickBot="1">
      <c r="B19" s="119" t="s">
        <v>1424</v>
      </c>
      <c r="D19" s="254" t="s">
        <v>1434</v>
      </c>
      <c r="E19" s="254"/>
      <c r="F19" s="254"/>
      <c r="G19" s="254"/>
      <c r="H19" s="254"/>
      <c r="I19" s="254"/>
      <c r="J19" s="254"/>
      <c r="K19" s="254"/>
      <c r="L19" s="126" t="s">
        <v>1170</v>
      </c>
    </row>
    <row r="20" spans="2:12" s="104" customFormat="1" ht="41.25" customHeight="1" thickTop="1" thickBot="1">
      <c r="B20" s="119" t="s">
        <v>1565</v>
      </c>
      <c r="D20" s="254" t="s">
        <v>1435</v>
      </c>
      <c r="E20" s="254"/>
      <c r="F20" s="254"/>
      <c r="G20" s="254"/>
      <c r="H20" s="254"/>
      <c r="I20" s="254"/>
      <c r="J20" s="254"/>
      <c r="K20" s="254"/>
      <c r="L20" s="126" t="s">
        <v>1170</v>
      </c>
    </row>
    <row r="21" spans="2:12" s="104" customFormat="1" ht="37.5" customHeight="1" thickTop="1" thickBot="1">
      <c r="B21" s="119" t="s">
        <v>1425</v>
      </c>
      <c r="D21" s="254" t="s">
        <v>1436</v>
      </c>
      <c r="E21" s="254"/>
      <c r="F21" s="254"/>
      <c r="G21" s="254"/>
      <c r="H21" s="254"/>
      <c r="I21" s="254"/>
      <c r="J21" s="254"/>
      <c r="K21" s="254"/>
      <c r="L21" s="126" t="s">
        <v>1170</v>
      </c>
    </row>
    <row r="22" spans="2:12" s="104" customFormat="1" ht="41.25" customHeight="1" thickTop="1" thickBot="1">
      <c r="B22" s="119" t="s">
        <v>1426</v>
      </c>
      <c r="D22" s="254" t="s">
        <v>1437</v>
      </c>
      <c r="E22" s="254"/>
      <c r="F22" s="254"/>
      <c r="G22" s="254"/>
      <c r="H22" s="254"/>
      <c r="I22" s="254"/>
      <c r="J22" s="254"/>
      <c r="K22" s="254"/>
      <c r="L22" s="126" t="s">
        <v>1170</v>
      </c>
    </row>
    <row r="23" spans="2:12" s="104" customFormat="1" ht="36" customHeight="1" thickTop="1" thickBot="1">
      <c r="B23" s="119" t="s">
        <v>1427</v>
      </c>
      <c r="D23" s="254" t="s">
        <v>1199</v>
      </c>
      <c r="E23" s="254"/>
      <c r="F23" s="254"/>
      <c r="G23" s="254"/>
      <c r="H23" s="254"/>
      <c r="I23" s="254"/>
      <c r="J23" s="254"/>
      <c r="K23" s="254"/>
      <c r="L23" s="126" t="s">
        <v>1170</v>
      </c>
    </row>
    <row r="24" spans="2:12" s="104" customFormat="1" ht="52.5" customHeight="1" thickTop="1" thickBot="1">
      <c r="B24" s="119" t="s">
        <v>1428</v>
      </c>
      <c r="D24" s="254" t="s">
        <v>1438</v>
      </c>
      <c r="E24" s="254"/>
      <c r="F24" s="254"/>
      <c r="G24" s="254"/>
      <c r="H24" s="254"/>
      <c r="I24" s="254"/>
      <c r="J24" s="254"/>
      <c r="K24" s="254"/>
      <c r="L24" s="126" t="s">
        <v>1170</v>
      </c>
    </row>
    <row r="25" spans="2:12" s="104" customFormat="1" ht="57" customHeight="1" thickTop="1" thickBot="1">
      <c r="B25" s="119" t="s">
        <v>1429</v>
      </c>
      <c r="D25" s="254" t="s">
        <v>1439</v>
      </c>
      <c r="E25" s="254"/>
      <c r="F25" s="254"/>
      <c r="G25" s="254"/>
      <c r="H25" s="254"/>
      <c r="I25" s="254"/>
      <c r="J25" s="254"/>
      <c r="K25" s="254"/>
      <c r="L25" s="126" t="s">
        <v>1170</v>
      </c>
    </row>
    <row r="26" spans="2:12" s="104" customFormat="1" ht="48.75" customHeight="1" thickTop="1" thickBot="1">
      <c r="B26" s="119" t="s">
        <v>1430</v>
      </c>
      <c r="D26" s="254" t="s">
        <v>1440</v>
      </c>
      <c r="E26" s="254"/>
      <c r="F26" s="254"/>
      <c r="G26" s="254"/>
      <c r="H26" s="254"/>
      <c r="I26" s="254"/>
      <c r="J26" s="254"/>
      <c r="K26" s="254"/>
      <c r="L26" s="126" t="s">
        <v>1170</v>
      </c>
    </row>
    <row r="27" spans="2:12" s="104" customFormat="1" ht="43.5" customHeight="1" thickTop="1" thickBot="1">
      <c r="B27" s="119" t="s">
        <v>1431</v>
      </c>
      <c r="D27" s="254" t="s">
        <v>1441</v>
      </c>
      <c r="E27" s="254"/>
      <c r="F27" s="254"/>
      <c r="G27" s="254"/>
      <c r="H27" s="254"/>
      <c r="I27" s="254"/>
      <c r="J27" s="254"/>
      <c r="K27" s="254"/>
      <c r="L27" s="126" t="s">
        <v>1170</v>
      </c>
    </row>
    <row r="28" spans="2:12" s="104" customFormat="1" ht="43.5" customHeight="1" thickTop="1" thickBot="1">
      <c r="B28" s="119" t="s">
        <v>1432</v>
      </c>
      <c r="D28" s="254" t="s">
        <v>1442</v>
      </c>
      <c r="E28" s="254"/>
      <c r="F28" s="254"/>
      <c r="G28" s="254"/>
      <c r="H28" s="254"/>
      <c r="I28" s="254"/>
      <c r="J28" s="254"/>
      <c r="K28" s="254"/>
      <c r="L28" s="126" t="s">
        <v>1170</v>
      </c>
    </row>
    <row r="29" spans="2:12" s="104" customFormat="1" ht="50.25" customHeight="1" thickTop="1" thickBot="1">
      <c r="B29" s="119" t="s">
        <v>536</v>
      </c>
      <c r="D29" s="254" t="s">
        <v>1205</v>
      </c>
      <c r="E29" s="254"/>
      <c r="F29" s="254"/>
      <c r="G29" s="254"/>
      <c r="H29" s="254"/>
      <c r="I29" s="254"/>
      <c r="J29" s="254"/>
      <c r="K29" s="254"/>
      <c r="L29" s="126" t="s">
        <v>1170</v>
      </c>
    </row>
    <row r="30" spans="2:12" s="104" customFormat="1" ht="57.75" customHeight="1" thickTop="1" thickBot="1">
      <c r="B30" s="119" t="s">
        <v>1168</v>
      </c>
      <c r="D30" s="254" t="s">
        <v>1443</v>
      </c>
      <c r="E30" s="254"/>
      <c r="F30" s="254"/>
      <c r="G30" s="254"/>
      <c r="H30" s="254"/>
      <c r="I30" s="254"/>
      <c r="J30" s="254"/>
      <c r="K30" s="254"/>
      <c r="L30" s="126" t="s">
        <v>1170</v>
      </c>
    </row>
    <row r="31" spans="2:12" s="104" customFormat="1" ht="67.5" customHeight="1" thickTop="1" thickBot="1">
      <c r="B31" s="119" t="s">
        <v>1433</v>
      </c>
      <c r="D31" s="254" t="s">
        <v>1207</v>
      </c>
      <c r="E31" s="254"/>
      <c r="F31" s="254"/>
      <c r="G31" s="254"/>
      <c r="H31" s="254"/>
      <c r="I31" s="254"/>
      <c r="J31" s="254"/>
      <c r="K31" s="254"/>
      <c r="L31" s="126" t="s">
        <v>1170</v>
      </c>
    </row>
    <row r="32" spans="2:12" s="104" customFormat="1" ht="15" thickTop="1">
      <c r="B32" s="120"/>
      <c r="D32" s="107"/>
      <c r="L32" s="108"/>
    </row>
    <row r="33" spans="2:12" s="104" customFormat="1" ht="18.75" customHeight="1">
      <c r="B33" s="121" t="s">
        <v>1560</v>
      </c>
      <c r="C33" s="122"/>
      <c r="D33" s="123"/>
      <c r="E33" s="122"/>
      <c r="F33" s="122"/>
      <c r="G33" s="122"/>
      <c r="H33" s="122"/>
      <c r="I33" s="122"/>
      <c r="J33" s="122"/>
      <c r="K33" s="122"/>
      <c r="L33" s="124"/>
    </row>
    <row r="34" spans="2:12" s="104" customFormat="1" ht="59.25" customHeight="1">
      <c r="B34" s="256" t="s">
        <v>1444</v>
      </c>
      <c r="C34" s="256"/>
      <c r="D34" s="256"/>
      <c r="E34" s="256"/>
      <c r="F34" s="256"/>
      <c r="G34" s="256"/>
      <c r="H34" s="256"/>
      <c r="I34" s="256"/>
      <c r="J34" s="256"/>
      <c r="K34" s="256"/>
      <c r="L34" s="256"/>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I42"/>
  <sheetViews>
    <sheetView tabSelected="1" zoomScaleNormal="100" zoomScalePageLayoutView="55" workbookViewId="0">
      <pane ySplit="4" topLeftCell="A14" activePane="bottomLeft" state="frozen"/>
      <selection activeCell="E5" sqref="E5"/>
      <selection pane="bottomLeft" activeCell="D5" sqref="D5"/>
    </sheetView>
  </sheetViews>
  <sheetFormatPr defaultColWidth="10" defaultRowHeight="12" customHeight="1" outlineLevelRow="5"/>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4.5" style="144" bestFit="1" customWidth="1"/>
    <col min="15" max="15" width="9.59765625" style="144" bestFit="1" customWidth="1"/>
    <col min="16" max="17" width="9.8984375" style="145" bestFit="1" customWidth="1"/>
    <col min="18" max="18" width="7.59765625" style="146" hidden="1" customWidth="1"/>
    <col min="19" max="19" width="6.3984375" style="147" bestFit="1" customWidth="1"/>
    <col min="20" max="20" width="4.8984375" style="147" bestFit="1" customWidth="1"/>
    <col min="21" max="21" width="5.8984375" style="147" bestFit="1" customWidth="1"/>
    <col min="22" max="22" width="5" style="147" bestFit="1" customWidth="1"/>
    <col min="23" max="24" width="9.69921875" style="145" hidden="1" customWidth="1"/>
    <col min="25" max="25" width="7.5" style="148" hidden="1" customWidth="1"/>
    <col min="26" max="26" width="6" style="149" hidden="1" customWidth="1"/>
    <col min="27" max="27" width="6.09765625" style="147" hidden="1" customWidth="1"/>
    <col min="28" max="28" width="20.59765625" style="146" bestFit="1" customWidth="1"/>
    <col min="29" max="29" width="10.19921875" style="150" bestFit="1" customWidth="1"/>
    <col min="30" max="30" width="7.69921875" style="151" bestFit="1" customWidth="1"/>
    <col min="31" max="31" width="7.19921875" style="152" customWidth="1"/>
    <col min="32" max="87" width="1.8984375" style="142" customWidth="1"/>
    <col min="88" max="16384" width="10" style="142"/>
  </cols>
  <sheetData>
    <row r="1" spans="1:87" s="139" customFormat="1" ht="19.95" customHeight="1">
      <c r="A1" s="153"/>
      <c r="B1" s="154"/>
      <c r="C1" s="155"/>
      <c r="D1" s="186" t="str" cm="1">
        <f t="array" aca="1" ref="D1" ca="1">xlgantt.ProjectName()</f>
        <v>XYZ시스템 구축</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2021-09-08~2021-10-27 [계획:28.97% 실적:0.00%]</v>
      </c>
      <c r="AF1" s="174" t="s">
        <v>1557</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87" s="139" customFormat="1" ht="15" customHeight="1">
      <c r="A2" s="153"/>
      <c r="B2" s="153"/>
      <c r="C2" s="155"/>
      <c r="D2" s="283"/>
      <c r="E2" s="283"/>
      <c r="F2" s="283"/>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66" t="s">
        <v>1303</v>
      </c>
      <c r="AG2" s="266"/>
      <c r="AH2" s="266"/>
      <c r="AI2" s="266"/>
      <c r="AJ2" s="266" t="s">
        <v>1331</v>
      </c>
      <c r="AK2" s="266"/>
      <c r="AL2" s="266"/>
      <c r="AM2" s="266"/>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c r="BV2" s="249"/>
      <c r="BW2" s="249"/>
      <c r="BX2" s="249"/>
      <c r="BY2" s="249"/>
      <c r="BZ2" s="249"/>
      <c r="CA2" s="249"/>
      <c r="CB2" s="249"/>
      <c r="CC2" s="249"/>
      <c r="CD2" s="249"/>
      <c r="CE2" s="249"/>
      <c r="CF2" s="249"/>
      <c r="CG2" s="249"/>
      <c r="CH2" s="249"/>
      <c r="CI2" s="249"/>
    </row>
    <row r="3" spans="1:87" s="140" customFormat="1" ht="19.05" customHeight="1">
      <c r="A3" s="274" t="s">
        <v>1600</v>
      </c>
      <c r="B3" s="276" t="s">
        <v>1601</v>
      </c>
      <c r="C3" s="278" t="s">
        <v>1640</v>
      </c>
      <c r="D3" s="279" t="s">
        <v>1641</v>
      </c>
      <c r="E3" s="280" t="s">
        <v>1602</v>
      </c>
      <c r="F3" s="281"/>
      <c r="G3" s="281"/>
      <c r="H3" s="281"/>
      <c r="I3" s="281"/>
      <c r="J3" s="281"/>
      <c r="K3" s="281"/>
      <c r="L3" s="281"/>
      <c r="M3" s="281"/>
      <c r="N3" s="281"/>
      <c r="O3" s="284" t="s">
        <v>1603</v>
      </c>
      <c r="P3" s="284" t="s">
        <v>1582</v>
      </c>
      <c r="Q3" s="284" t="s">
        <v>1604</v>
      </c>
      <c r="R3" s="291" t="s">
        <v>1583</v>
      </c>
      <c r="S3" s="286" t="s">
        <v>1605</v>
      </c>
      <c r="T3" s="293" t="s">
        <v>1461</v>
      </c>
      <c r="U3" s="286" t="s">
        <v>1462</v>
      </c>
      <c r="V3" s="286" t="s">
        <v>1642</v>
      </c>
      <c r="W3" s="288" t="s">
        <v>1584</v>
      </c>
      <c r="X3" s="288" t="s">
        <v>1643</v>
      </c>
      <c r="Y3" s="295" t="s">
        <v>1585</v>
      </c>
      <c r="Z3" s="289" t="s">
        <v>1644</v>
      </c>
      <c r="AA3" s="268" t="s">
        <v>1463</v>
      </c>
      <c r="AB3" s="284" t="s">
        <v>1464</v>
      </c>
      <c r="AC3" s="270" t="s">
        <v>1606</v>
      </c>
      <c r="AD3" s="297" t="s">
        <v>1465</v>
      </c>
      <c r="AE3" s="272" t="s">
        <v>1599</v>
      </c>
      <c r="AF3" s="267" t="s">
        <v>1597</v>
      </c>
      <c r="AG3" s="264"/>
      <c r="AH3" s="264"/>
      <c r="AI3" s="264"/>
      <c r="AJ3" s="263" t="s">
        <v>1598</v>
      </c>
      <c r="AK3" s="264"/>
      <c r="AL3" s="264"/>
      <c r="AM3" s="265"/>
    </row>
    <row r="4" spans="1:87" s="141" customFormat="1" ht="6" customHeight="1">
      <c r="A4" s="275"/>
      <c r="B4" s="277"/>
      <c r="C4" s="274"/>
      <c r="D4" s="271"/>
      <c r="E4" s="282"/>
      <c r="F4" s="281"/>
      <c r="G4" s="281"/>
      <c r="H4" s="281"/>
      <c r="I4" s="281"/>
      <c r="J4" s="281"/>
      <c r="K4" s="281"/>
      <c r="L4" s="281"/>
      <c r="M4" s="281"/>
      <c r="N4" s="281"/>
      <c r="O4" s="285"/>
      <c r="P4" s="285"/>
      <c r="Q4" s="285"/>
      <c r="R4" s="292"/>
      <c r="S4" s="287"/>
      <c r="T4" s="294"/>
      <c r="U4" s="287"/>
      <c r="V4" s="287"/>
      <c r="W4" s="285"/>
      <c r="X4" s="285"/>
      <c r="Y4" s="296"/>
      <c r="Z4" s="290"/>
      <c r="AA4" s="269"/>
      <c r="AB4" s="285"/>
      <c r="AC4" s="271"/>
      <c r="AD4" s="298"/>
      <c r="AE4" s="273"/>
      <c r="AF4" s="187">
        <v>44444</v>
      </c>
      <c r="AG4" s="188">
        <v>44451</v>
      </c>
      <c r="AH4" s="188">
        <v>44458</v>
      </c>
      <c r="AI4" s="188">
        <v>44465</v>
      </c>
      <c r="AJ4" s="188">
        <v>44472</v>
      </c>
      <c r="AK4" s="188">
        <v>44479</v>
      </c>
      <c r="AL4" s="188">
        <v>44486</v>
      </c>
      <c r="AM4" s="309">
        <v>44493</v>
      </c>
      <c r="AN4" s="218"/>
      <c r="AO4" s="218"/>
      <c r="AP4" s="218"/>
      <c r="AQ4" s="218"/>
      <c r="AR4" s="218"/>
      <c r="AS4" s="218"/>
      <c r="AT4" s="218"/>
      <c r="AU4" s="218"/>
      <c r="AV4" s="218"/>
      <c r="AW4" s="218"/>
      <c r="AX4" s="218"/>
      <c r="AY4" s="218"/>
      <c r="AZ4" s="218"/>
      <c r="BA4" s="218"/>
      <c r="BB4" s="218"/>
      <c r="BC4" s="218"/>
      <c r="BD4" s="218"/>
      <c r="BE4" s="218"/>
      <c r="BF4" s="218"/>
      <c r="BG4" s="218"/>
      <c r="BH4" s="218"/>
      <c r="BI4" s="218"/>
      <c r="BJ4" s="218"/>
      <c r="BK4" s="218"/>
      <c r="BL4" s="218"/>
      <c r="BM4" s="218"/>
      <c r="BN4" s="218"/>
      <c r="BO4" s="218"/>
      <c r="BP4" s="218"/>
      <c r="BQ4" s="218"/>
      <c r="BR4" s="218"/>
      <c r="BS4" s="218"/>
      <c r="BT4" s="218"/>
      <c r="BU4" s="218"/>
      <c r="BV4" s="218"/>
      <c r="BW4" s="218"/>
      <c r="BX4" s="218"/>
      <c r="BY4" s="218"/>
      <c r="BZ4" s="218"/>
      <c r="CA4" s="218"/>
      <c r="CB4" s="218"/>
      <c r="CC4" s="218"/>
      <c r="CD4" s="218"/>
      <c r="CE4" s="218"/>
      <c r="CF4" s="218"/>
      <c r="CG4" s="218"/>
      <c r="CH4" s="218"/>
      <c r="CI4" s="218"/>
    </row>
    <row r="5" spans="1:87" ht="12" customHeight="1">
      <c r="A5" s="203"/>
      <c r="B5" s="203" t="s">
        <v>1466</v>
      </c>
      <c r="C5" s="203">
        <v>1</v>
      </c>
      <c r="D5" s="216" t="s">
        <v>1019</v>
      </c>
      <c r="E5" s="204" t="s">
        <v>1476</v>
      </c>
      <c r="F5" s="204"/>
      <c r="G5" s="204"/>
      <c r="H5" s="204"/>
      <c r="I5" s="204"/>
      <c r="J5" s="204"/>
      <c r="K5" s="204"/>
      <c r="L5" s="204"/>
      <c r="M5" s="204"/>
      <c r="N5" s="204"/>
      <c r="O5" s="204"/>
      <c r="P5" s="205">
        <v>44447</v>
      </c>
      <c r="Q5" s="205">
        <v>44496</v>
      </c>
      <c r="R5" s="206"/>
      <c r="S5" s="207">
        <v>107</v>
      </c>
      <c r="T5" s="207">
        <v>31</v>
      </c>
      <c r="U5" s="207">
        <v>33</v>
      </c>
      <c r="V5" s="207">
        <v>14</v>
      </c>
      <c r="W5" s="205"/>
      <c r="X5" s="205"/>
      <c r="Y5" s="208">
        <v>0</v>
      </c>
      <c r="Z5" s="209">
        <v>0</v>
      </c>
      <c r="AA5" s="207"/>
      <c r="AB5" s="206"/>
      <c r="AC5" s="210"/>
      <c r="AD5" s="211">
        <v>0.28971962616822428</v>
      </c>
      <c r="AE5" s="215">
        <v>0</v>
      </c>
      <c r="AF5" s="190" t="str">
        <f>"   " &amp; TEXT(AE5,"#0.00%") &amp; " "</f>
        <v xml:space="preserve">   0.00% </v>
      </c>
      <c r="AG5" s="191"/>
      <c r="AH5" s="191"/>
      <c r="AI5" s="191"/>
      <c r="AJ5" s="191"/>
      <c r="AK5" s="191"/>
      <c r="AL5" s="191"/>
      <c r="AM5" s="191" t="str">
        <f>"    " &amp; "프로젝트 관리" &amp; " " &amp; IF(P5="","",TEXT(P5,"M/D-")) &amp; IF(Q5="","",TEXT(Q5,"M/D")) &amp; " "</f>
        <v xml:space="preserve">    프로젝트 관리 9/8-10/27 </v>
      </c>
      <c r="AN5" s="191"/>
    </row>
    <row r="6" spans="1:87" ht="12" customHeight="1" outlineLevel="1">
      <c r="A6" s="203"/>
      <c r="B6" s="203" t="s">
        <v>1466</v>
      </c>
      <c r="C6" s="203">
        <v>2</v>
      </c>
      <c r="D6" s="216" t="s">
        <v>1093</v>
      </c>
      <c r="E6" s="204"/>
      <c r="F6" s="204" t="s">
        <v>1477</v>
      </c>
      <c r="G6" s="204"/>
      <c r="H6" s="204"/>
      <c r="I6" s="204"/>
      <c r="J6" s="204"/>
      <c r="K6" s="204"/>
      <c r="L6" s="204"/>
      <c r="M6" s="204"/>
      <c r="N6" s="204"/>
      <c r="O6" s="204"/>
      <c r="P6" s="205">
        <v>44447</v>
      </c>
      <c r="Q6" s="205">
        <v>44467</v>
      </c>
      <c r="R6" s="206"/>
      <c r="S6" s="207">
        <v>15</v>
      </c>
      <c r="T6" s="207">
        <v>15</v>
      </c>
      <c r="U6" s="207">
        <v>12</v>
      </c>
      <c r="V6" s="207">
        <v>12</v>
      </c>
      <c r="W6" s="205"/>
      <c r="X6" s="205"/>
      <c r="Y6" s="208">
        <v>0</v>
      </c>
      <c r="Z6" s="209">
        <v>0</v>
      </c>
      <c r="AA6" s="207"/>
      <c r="AB6" s="206"/>
      <c r="AC6" s="210"/>
      <c r="AD6" s="211">
        <v>1</v>
      </c>
      <c r="AE6" s="215">
        <v>0</v>
      </c>
      <c r="AF6" s="190" t="str">
        <f>"   " &amp; TEXT(AE6,"#0.00%") &amp; " "</f>
        <v xml:space="preserve">   0.00% </v>
      </c>
      <c r="AG6" s="191"/>
      <c r="AH6" s="191"/>
      <c r="AI6" s="191" t="str">
        <f>"   " &amp; "프로젝트 착수 및 계획수립" &amp; " " &amp; IF(P6="","",TEXT(P6,"M/D-")) &amp; IF(Q6="","",TEXT(Q6,"M/D")) &amp; " "</f>
        <v xml:space="preserve">   프로젝트 착수 및 계획수립 9/8-9/28 </v>
      </c>
      <c r="AJ6" s="191"/>
      <c r="AK6" s="191"/>
      <c r="AL6" s="191"/>
      <c r="AM6" s="191"/>
      <c r="AN6" s="191"/>
    </row>
    <row r="7" spans="1:87" ht="12" customHeight="1" outlineLevel="2">
      <c r="A7" s="203"/>
      <c r="B7" s="203"/>
      <c r="C7" s="203">
        <v>3</v>
      </c>
      <c r="D7" s="216" t="s">
        <v>1094</v>
      </c>
      <c r="E7" s="204"/>
      <c r="F7" s="204"/>
      <c r="G7" s="204" t="s">
        <v>1587</v>
      </c>
      <c r="H7" s="204"/>
      <c r="I7" s="204"/>
      <c r="J7" s="204"/>
      <c r="K7" s="204"/>
      <c r="L7" s="204"/>
      <c r="M7" s="204"/>
      <c r="N7" s="204"/>
      <c r="O7" s="204" t="s">
        <v>1591</v>
      </c>
      <c r="P7" s="205">
        <v>44447</v>
      </c>
      <c r="Q7" s="205">
        <v>44460</v>
      </c>
      <c r="R7" s="206"/>
      <c r="S7" s="207">
        <v>8</v>
      </c>
      <c r="T7" s="207">
        <v>8</v>
      </c>
      <c r="U7" s="207">
        <v>8</v>
      </c>
      <c r="V7" s="207">
        <v>8</v>
      </c>
      <c r="W7" s="205"/>
      <c r="X7" s="205"/>
      <c r="Y7" s="208"/>
      <c r="Z7" s="209">
        <v>0</v>
      </c>
      <c r="AA7" s="207"/>
      <c r="AB7" s="206"/>
      <c r="AC7" s="210"/>
      <c r="AD7" s="211">
        <v>1</v>
      </c>
      <c r="AE7" s="214">
        <v>0</v>
      </c>
      <c r="AF7" s="190" t="str">
        <f>"   " &amp; TEXT(AE7,"#0.00%") &amp; " " &amp; "주제 선정" &amp; " " &amp; IF(P7="","",TEXT(P7,"M/D-")) &amp; IF(Q7="","",TEXT(Q7,"M/D")) &amp; " "</f>
        <v xml:space="preserve">   0.00% 주제 선정 9/8-9/21 </v>
      </c>
      <c r="AG7" s="191"/>
      <c r="AH7" s="191"/>
      <c r="AI7" s="191"/>
      <c r="AJ7" s="191"/>
      <c r="AK7" s="191"/>
      <c r="AL7" s="191"/>
      <c r="AM7" s="191"/>
      <c r="AN7" s="191"/>
    </row>
    <row r="8" spans="1:87" ht="12" customHeight="1" outlineLevel="2">
      <c r="A8" s="203"/>
      <c r="B8" s="203"/>
      <c r="C8" s="203">
        <v>3</v>
      </c>
      <c r="D8" s="216" t="s">
        <v>1095</v>
      </c>
      <c r="E8" s="204"/>
      <c r="F8" s="204"/>
      <c r="G8" s="204" t="s">
        <v>1588</v>
      </c>
      <c r="H8" s="204"/>
      <c r="I8" s="204"/>
      <c r="J8" s="204"/>
      <c r="K8" s="204"/>
      <c r="L8" s="204"/>
      <c r="M8" s="204"/>
      <c r="N8" s="204"/>
      <c r="O8" s="204" t="s">
        <v>1592</v>
      </c>
      <c r="P8" s="205">
        <v>44454</v>
      </c>
      <c r="Q8" s="205">
        <v>44467</v>
      </c>
      <c r="R8" s="206"/>
      <c r="S8" s="207">
        <v>7</v>
      </c>
      <c r="T8" s="207">
        <v>7</v>
      </c>
      <c r="U8" s="207">
        <v>7</v>
      </c>
      <c r="V8" s="207">
        <v>7</v>
      </c>
      <c r="W8" s="205"/>
      <c r="X8" s="205"/>
      <c r="Y8" s="208"/>
      <c r="Z8" s="209">
        <v>0</v>
      </c>
      <c r="AA8" s="207"/>
      <c r="AB8" s="206"/>
      <c r="AC8" s="210"/>
      <c r="AD8" s="211">
        <v>1</v>
      </c>
      <c r="AE8" s="214">
        <v>0</v>
      </c>
      <c r="AF8" s="190"/>
      <c r="AG8" s="191" t="str">
        <f>"   " &amp; TEXT(AE8,"#0.00%") &amp; " " &amp; "착수 보고" &amp; " " &amp; IF(P8="","",TEXT(P8,"M/D-")) &amp; IF(Q8="","",TEXT(Q8,"M/D")) &amp; " "</f>
        <v xml:space="preserve">   0.00% 착수 보고 9/15-9/28 </v>
      </c>
      <c r="AH8" s="191"/>
      <c r="AI8" s="191"/>
      <c r="AJ8" s="191"/>
      <c r="AK8" s="191"/>
      <c r="AL8" s="191"/>
      <c r="AM8" s="191"/>
      <c r="AN8" s="191"/>
    </row>
    <row r="9" spans="1:87" ht="12" customHeight="1" outlineLevel="1">
      <c r="A9" s="203"/>
      <c r="B9" s="203" t="s">
        <v>1466</v>
      </c>
      <c r="C9" s="203">
        <v>2</v>
      </c>
      <c r="D9" s="216" t="s">
        <v>1096</v>
      </c>
      <c r="E9" s="204"/>
      <c r="F9" s="204" t="s">
        <v>1589</v>
      </c>
      <c r="G9" s="204"/>
      <c r="H9" s="204"/>
      <c r="I9" s="204"/>
      <c r="J9" s="204"/>
      <c r="K9" s="204"/>
      <c r="L9" s="204"/>
      <c r="M9" s="204"/>
      <c r="N9" s="204"/>
      <c r="O9" s="204"/>
      <c r="P9" s="205">
        <v>44461</v>
      </c>
      <c r="Q9" s="205">
        <v>44496</v>
      </c>
      <c r="R9" s="206"/>
      <c r="S9" s="207">
        <v>24</v>
      </c>
      <c r="T9" s="207">
        <v>6</v>
      </c>
      <c r="U9" s="207">
        <v>25</v>
      </c>
      <c r="V9" s="207">
        <v>6</v>
      </c>
      <c r="W9" s="205"/>
      <c r="X9" s="205"/>
      <c r="Y9" s="208">
        <v>0</v>
      </c>
      <c r="Z9" s="209">
        <v>0</v>
      </c>
      <c r="AA9" s="207"/>
      <c r="AB9" s="206"/>
      <c r="AC9" s="210"/>
      <c r="AD9" s="211">
        <v>0.25</v>
      </c>
      <c r="AE9" s="215">
        <v>0</v>
      </c>
      <c r="AF9" s="190"/>
      <c r="AG9" s="191"/>
      <c r="AH9" s="191" t="str">
        <f>"   " &amp; TEXT(AE9,"#0.00%") &amp; " "</f>
        <v xml:space="preserve">   0.00% </v>
      </c>
      <c r="AI9" s="191"/>
      <c r="AJ9" s="191"/>
      <c r="AK9" s="191"/>
      <c r="AL9" s="191"/>
      <c r="AM9" s="191" t="str">
        <f>"    " &amp; "프로젝트 수행 보고" &amp; " " &amp; IF(P9="","",TEXT(P9,"M/D-")) &amp; IF(Q9="","",TEXT(Q9,"M/D")) &amp; " "</f>
        <v xml:space="preserve">    프로젝트 수행 보고 9/22-10/27 </v>
      </c>
      <c r="AN9" s="191"/>
    </row>
    <row r="10" spans="1:87" ht="12" customHeight="1" outlineLevel="2">
      <c r="A10" s="203"/>
      <c r="B10" s="203"/>
      <c r="C10" s="203">
        <v>3</v>
      </c>
      <c r="D10" s="216" t="s">
        <v>1097</v>
      </c>
      <c r="E10" s="204"/>
      <c r="F10" s="204"/>
      <c r="G10" s="204" t="s">
        <v>1611</v>
      </c>
      <c r="H10" s="204"/>
      <c r="I10" s="204"/>
      <c r="J10" s="204"/>
      <c r="K10" s="204"/>
      <c r="L10" s="204"/>
      <c r="M10" s="204"/>
      <c r="N10" s="204"/>
      <c r="O10" s="204" t="s">
        <v>1612</v>
      </c>
      <c r="P10" s="205">
        <v>44461</v>
      </c>
      <c r="Q10" s="205">
        <v>44468</v>
      </c>
      <c r="R10" s="206"/>
      <c r="S10" s="207">
        <v>5</v>
      </c>
      <c r="T10" s="207">
        <v>5</v>
      </c>
      <c r="U10" s="207">
        <v>5</v>
      </c>
      <c r="V10" s="207">
        <v>5</v>
      </c>
      <c r="W10" s="205">
        <v>44211</v>
      </c>
      <c r="X10" s="205"/>
      <c r="Y10" s="208">
        <v>-31567</v>
      </c>
      <c r="Z10" s="209">
        <v>0</v>
      </c>
      <c r="AA10" s="207">
        <v>1</v>
      </c>
      <c r="AB10" s="206"/>
      <c r="AC10" s="210"/>
      <c r="AD10" s="211">
        <v>1</v>
      </c>
      <c r="AE10" s="214">
        <v>0</v>
      </c>
      <c r="AF10" s="190"/>
      <c r="AG10" s="191"/>
      <c r="AH10" s="191" t="str">
        <f>"   " &amp; TEXT(AE10,"#0.00%") &amp; " " &amp; "프로젝트 주제 발표" &amp; " " &amp; IF(P10="","",TEXT(P10,"M/D-")) &amp; IF(Q10="","",TEXT(Q10,"M/D")) &amp; " "</f>
        <v xml:space="preserve">   0.00% 프로젝트 주제 발표 9/22-9/29 </v>
      </c>
      <c r="AI10" s="191"/>
      <c r="AJ10" s="191"/>
      <c r="AK10" s="191"/>
      <c r="AL10" s="191"/>
      <c r="AM10" s="191"/>
      <c r="AN10" s="191"/>
    </row>
    <row r="11" spans="1:87" ht="12" customHeight="1" outlineLevel="2">
      <c r="A11" s="203"/>
      <c r="B11" s="203"/>
      <c r="C11" s="203">
        <v>3</v>
      </c>
      <c r="D11" s="216" t="s">
        <v>1118</v>
      </c>
      <c r="E11" s="204"/>
      <c r="F11" s="204"/>
      <c r="G11" s="204" t="s">
        <v>1608</v>
      </c>
      <c r="H11" s="204"/>
      <c r="I11" s="204"/>
      <c r="J11" s="204"/>
      <c r="K11" s="204"/>
      <c r="L11" s="204"/>
      <c r="M11" s="204"/>
      <c r="N11" s="204"/>
      <c r="O11" s="204" t="s">
        <v>1593</v>
      </c>
      <c r="P11" s="205">
        <v>44469</v>
      </c>
      <c r="Q11" s="205">
        <v>44474</v>
      </c>
      <c r="R11" s="206"/>
      <c r="S11" s="207">
        <v>4</v>
      </c>
      <c r="T11" s="207">
        <v>1</v>
      </c>
      <c r="U11" s="207">
        <v>4</v>
      </c>
      <c r="V11" s="207">
        <v>1</v>
      </c>
      <c r="W11" s="205"/>
      <c r="X11" s="205"/>
      <c r="Y11" s="208"/>
      <c r="Z11" s="209">
        <v>0</v>
      </c>
      <c r="AA11" s="207">
        <v>1</v>
      </c>
      <c r="AB11" s="206"/>
      <c r="AC11" s="210"/>
      <c r="AD11" s="211">
        <v>0.25</v>
      </c>
      <c r="AE11" s="214">
        <v>0</v>
      </c>
      <c r="AF11" s="190"/>
      <c r="AG11" s="191"/>
      <c r="AH11" s="191"/>
      <c r="AI11" s="191" t="str">
        <f>"    " &amp; TEXT(AE11,"#0.00%") &amp; " " &amp; "주간 정검1" &amp; " " &amp; IF(P11="","",TEXT(P11,"M/D-")) &amp; IF(Q11="","",TEXT(Q11,"M/D")) &amp; " "</f>
        <v xml:space="preserve">    0.00% 주간 정검1 9/30-10/5 </v>
      </c>
      <c r="AJ11" s="191"/>
      <c r="AK11" s="191"/>
      <c r="AL11" s="191"/>
      <c r="AM11" s="191"/>
      <c r="AN11" s="191"/>
    </row>
    <row r="12" spans="1:87" ht="12" customHeight="1" outlineLevel="2">
      <c r="A12" s="203"/>
      <c r="B12" s="203"/>
      <c r="C12" s="203">
        <v>3</v>
      </c>
      <c r="D12" s="216" t="s">
        <v>1485</v>
      </c>
      <c r="E12" s="204"/>
      <c r="F12" s="204"/>
      <c r="G12" s="204" t="s">
        <v>1609</v>
      </c>
      <c r="H12" s="204"/>
      <c r="I12" s="204"/>
      <c r="J12" s="204"/>
      <c r="K12" s="204"/>
      <c r="L12" s="204"/>
      <c r="M12" s="204"/>
      <c r="N12" s="204"/>
      <c r="O12" s="204" t="s">
        <v>1594</v>
      </c>
      <c r="P12" s="205">
        <v>44475</v>
      </c>
      <c r="Q12" s="205">
        <v>44481</v>
      </c>
      <c r="R12" s="206"/>
      <c r="S12" s="207">
        <v>5</v>
      </c>
      <c r="T12" s="207">
        <v>0</v>
      </c>
      <c r="U12" s="207">
        <v>5</v>
      </c>
      <c r="V12" s="207">
        <v>0</v>
      </c>
      <c r="W12" s="205"/>
      <c r="X12" s="205"/>
      <c r="Y12" s="208"/>
      <c r="Z12" s="209">
        <v>0</v>
      </c>
      <c r="AA12" s="207">
        <v>1</v>
      </c>
      <c r="AB12" s="206"/>
      <c r="AC12" s="210"/>
      <c r="AD12" s="211">
        <v>0</v>
      </c>
      <c r="AE12" s="213">
        <v>0</v>
      </c>
      <c r="AF12" s="190"/>
      <c r="AG12" s="191"/>
      <c r="AH12" s="191"/>
      <c r="AI12" s="191"/>
      <c r="AJ12" s="191" t="str">
        <f>"   " &amp; TEXT(AE12,"#0.00%") &amp; " " &amp; "주간 정검2" &amp; " " &amp; IF(P12="","",TEXT(P12,"M/D-")) &amp; IF(Q12="","",TEXT(Q12,"M/D")) &amp; " "</f>
        <v xml:space="preserve">   0.00% 주간 정검2 10/6-10/12 </v>
      </c>
      <c r="AK12" s="191"/>
      <c r="AL12" s="191"/>
      <c r="AM12" s="191"/>
      <c r="AN12" s="191"/>
    </row>
    <row r="13" spans="1:87" ht="12" customHeight="1" outlineLevel="2">
      <c r="A13" s="203">
        <v>0</v>
      </c>
      <c r="B13" s="203"/>
      <c r="C13" s="203">
        <v>3</v>
      </c>
      <c r="D13" s="216" t="s">
        <v>1487</v>
      </c>
      <c r="E13" s="204"/>
      <c r="F13" s="204"/>
      <c r="G13" s="204" t="s">
        <v>1610</v>
      </c>
      <c r="H13" s="204"/>
      <c r="I13" s="204"/>
      <c r="J13" s="204"/>
      <c r="K13" s="204"/>
      <c r="L13" s="204"/>
      <c r="M13" s="204"/>
      <c r="N13" s="204"/>
      <c r="O13" s="204" t="s">
        <v>1595</v>
      </c>
      <c r="P13" s="205">
        <v>44482</v>
      </c>
      <c r="Q13" s="205">
        <v>44489</v>
      </c>
      <c r="R13" s="206"/>
      <c r="S13" s="207">
        <v>6</v>
      </c>
      <c r="T13" s="207">
        <v>0</v>
      </c>
      <c r="U13" s="207">
        <v>6</v>
      </c>
      <c r="V13" s="207">
        <v>0</v>
      </c>
      <c r="W13" s="205"/>
      <c r="X13" s="205"/>
      <c r="Y13" s="208"/>
      <c r="Z13" s="209">
        <v>0</v>
      </c>
      <c r="AA13" s="207">
        <v>1</v>
      </c>
      <c r="AB13" s="206"/>
      <c r="AC13" s="210"/>
      <c r="AD13" s="211">
        <v>0</v>
      </c>
      <c r="AE13" s="213">
        <v>0</v>
      </c>
      <c r="AF13" s="190"/>
      <c r="AG13" s="191"/>
      <c r="AH13" s="191"/>
      <c r="AI13" s="191"/>
      <c r="AJ13" s="191"/>
      <c r="AK13" s="191" t="str">
        <f>"   " &amp; TEXT(AE13,"#0.00%") &amp; " " &amp; "주간 정검3" &amp; " " &amp; IF(P13="","",TEXT(P13,"M/D-")) &amp; IF(Q13="","",TEXT(Q13,"M/D")) &amp; " "</f>
        <v xml:space="preserve">   0.00% 주간 정검3 10/13-10/20 </v>
      </c>
      <c r="AL13" s="191"/>
      <c r="AM13" s="191"/>
      <c r="AN13" s="191"/>
    </row>
    <row r="14" spans="1:87" ht="12" customHeight="1" outlineLevel="2">
      <c r="A14" s="203"/>
      <c r="B14" s="203"/>
      <c r="C14" s="203">
        <v>3</v>
      </c>
      <c r="D14" s="216" t="s">
        <v>1581</v>
      </c>
      <c r="E14" s="204"/>
      <c r="F14" s="204"/>
      <c r="G14" s="204" t="s">
        <v>1580</v>
      </c>
      <c r="H14" s="204"/>
      <c r="I14" s="204"/>
      <c r="J14" s="204"/>
      <c r="K14" s="204"/>
      <c r="L14" s="204"/>
      <c r="M14" s="204"/>
      <c r="N14" s="204"/>
      <c r="O14" s="204" t="s">
        <v>1596</v>
      </c>
      <c r="P14" s="205">
        <v>44491</v>
      </c>
      <c r="Q14" s="205">
        <v>44496</v>
      </c>
      <c r="R14" s="206"/>
      <c r="S14" s="207">
        <v>4</v>
      </c>
      <c r="T14" s="207">
        <v>0</v>
      </c>
      <c r="U14" s="207">
        <v>4</v>
      </c>
      <c r="V14" s="207">
        <v>0</v>
      </c>
      <c r="W14" s="205"/>
      <c r="X14" s="205"/>
      <c r="Y14" s="208"/>
      <c r="Z14" s="209">
        <v>0</v>
      </c>
      <c r="AA14" s="207"/>
      <c r="AB14" s="206"/>
      <c r="AC14" s="210"/>
      <c r="AD14" s="211">
        <v>0</v>
      </c>
      <c r="AE14" s="213">
        <v>0</v>
      </c>
      <c r="AF14" s="190"/>
      <c r="AG14" s="191"/>
      <c r="AH14" s="191"/>
      <c r="AI14" s="191"/>
      <c r="AJ14" s="191"/>
      <c r="AK14" s="191"/>
      <c r="AL14" s="191" t="str">
        <f>"     " &amp; TEXT(AE14,"#0.00%") &amp; " " &amp; "최종발표" &amp; " " &amp; IF(P14="","",TEXT(P14,"M/D-")) &amp; IF(Q14="","",TEXT(Q14,"M/D")) &amp; " "</f>
        <v xml:space="preserve">     0.00% 최종발표 10/22-10/27 </v>
      </c>
      <c r="AM14" s="191"/>
      <c r="AN14" s="191"/>
    </row>
    <row r="15" spans="1:87" ht="12" customHeight="1" outlineLevel="1">
      <c r="A15" s="203"/>
      <c r="B15" s="203" t="s">
        <v>1466</v>
      </c>
      <c r="C15" s="203">
        <v>2</v>
      </c>
      <c r="D15" s="216" t="s">
        <v>1098</v>
      </c>
      <c r="E15" s="204"/>
      <c r="F15" s="204" t="s">
        <v>1489</v>
      </c>
      <c r="G15" s="204"/>
      <c r="H15" s="204"/>
      <c r="I15" s="204"/>
      <c r="J15" s="204"/>
      <c r="K15" s="204"/>
      <c r="L15" s="204"/>
      <c r="M15" s="204"/>
      <c r="N15" s="204"/>
      <c r="O15" s="204"/>
      <c r="P15" s="205">
        <v>44489</v>
      </c>
      <c r="Q15" s="205">
        <v>44496</v>
      </c>
      <c r="R15" s="206"/>
      <c r="S15" s="207">
        <v>0</v>
      </c>
      <c r="T15" s="207">
        <v>0</v>
      </c>
      <c r="U15" s="207">
        <v>6</v>
      </c>
      <c r="V15" s="207">
        <v>0</v>
      </c>
      <c r="W15" s="205"/>
      <c r="X15" s="205"/>
      <c r="Y15" s="208">
        <v>0</v>
      </c>
      <c r="Z15" s="209">
        <v>0</v>
      </c>
      <c r="AA15" s="207"/>
      <c r="AB15" s="206"/>
      <c r="AC15" s="210"/>
      <c r="AD15" s="211">
        <v>0</v>
      </c>
      <c r="AE15" s="219">
        <v>0</v>
      </c>
      <c r="AF15" s="190"/>
      <c r="AG15" s="191"/>
      <c r="AH15" s="191"/>
      <c r="AI15" s="191"/>
      <c r="AJ15" s="191"/>
      <c r="AK15" s="191"/>
      <c r="AL15" s="191" t="str">
        <f>"   " &amp; TEXT(AE15,"#0.00%") &amp; " " &amp; "프로젝트 종료" &amp; " " &amp; IF(P15="","",TEXT(P15,"M/D-")) &amp; IF(Q15="","",TEXT(Q15,"M/D")) &amp; " "</f>
        <v xml:space="preserve">   0.00% 프로젝트 종료 10/20-10/27 </v>
      </c>
      <c r="AM15" s="191"/>
      <c r="AN15" s="191"/>
    </row>
    <row r="16" spans="1:87" ht="12" customHeight="1" outlineLevel="2">
      <c r="A16" s="203">
        <v>1</v>
      </c>
      <c r="B16" s="203"/>
      <c r="C16" s="203">
        <v>3</v>
      </c>
      <c r="D16" s="216" t="s">
        <v>1099</v>
      </c>
      <c r="E16" s="204"/>
      <c r="F16" s="204"/>
      <c r="G16" s="204" t="s">
        <v>1489</v>
      </c>
      <c r="H16" s="204"/>
      <c r="I16" s="204"/>
      <c r="J16" s="204"/>
      <c r="K16" s="204"/>
      <c r="L16" s="204"/>
      <c r="M16" s="204"/>
      <c r="N16" s="204"/>
      <c r="O16" s="204" t="s">
        <v>1596</v>
      </c>
      <c r="P16" s="205">
        <v>44489</v>
      </c>
      <c r="Q16" s="205">
        <v>44496</v>
      </c>
      <c r="R16" s="206"/>
      <c r="S16" s="207">
        <v>0</v>
      </c>
      <c r="T16" s="207">
        <v>0</v>
      </c>
      <c r="U16" s="207">
        <v>6</v>
      </c>
      <c r="V16" s="207">
        <v>0</v>
      </c>
      <c r="W16" s="205"/>
      <c r="X16" s="205"/>
      <c r="Y16" s="208"/>
      <c r="Z16" s="209">
        <v>0</v>
      </c>
      <c r="AA16" s="207">
        <v>1</v>
      </c>
      <c r="AB16" s="206"/>
      <c r="AC16" s="210"/>
      <c r="AD16" s="211">
        <v>0</v>
      </c>
      <c r="AE16" s="213">
        <v>0</v>
      </c>
      <c r="AF16" s="190"/>
      <c r="AG16" s="191"/>
      <c r="AH16" s="191"/>
      <c r="AI16" s="191"/>
      <c r="AJ16" s="191"/>
      <c r="AK16" s="191"/>
      <c r="AL16" s="191" t="str">
        <f>"       " &amp; TEXT(AE16,"#0.00%") &amp; " " &amp; "프로젝트 종료" &amp; " " &amp; IF(P16="","",TEXT(P16,"M/D-")) &amp; IF(Q16="","",TEXT(Q16,"M/D")) &amp; " "</f>
        <v xml:space="preserve">       0.00% 프로젝트 종료 10/20-10/27 </v>
      </c>
      <c r="AM16" s="191"/>
      <c r="AN16" s="191"/>
    </row>
    <row r="17" spans="1:40" ht="12" customHeight="1" outlineLevel="1">
      <c r="A17" s="203"/>
      <c r="B17" s="203" t="s">
        <v>1466</v>
      </c>
      <c r="C17" s="203">
        <v>2</v>
      </c>
      <c r="D17" s="216" t="s">
        <v>1120</v>
      </c>
      <c r="E17" s="204"/>
      <c r="F17" s="204" t="s">
        <v>1288</v>
      </c>
      <c r="G17" s="204"/>
      <c r="H17" s="204"/>
      <c r="I17" s="204"/>
      <c r="J17" s="204"/>
      <c r="K17" s="204"/>
      <c r="L17" s="204"/>
      <c r="M17" s="204"/>
      <c r="N17" s="204"/>
      <c r="O17" s="204"/>
      <c r="P17" s="205">
        <v>44468</v>
      </c>
      <c r="Q17" s="205">
        <v>44481</v>
      </c>
      <c r="R17" s="206"/>
      <c r="S17" s="207">
        <v>15</v>
      </c>
      <c r="T17" s="207">
        <v>4</v>
      </c>
      <c r="U17" s="207">
        <v>10</v>
      </c>
      <c r="V17" s="207">
        <v>2</v>
      </c>
      <c r="W17" s="205"/>
      <c r="X17" s="205"/>
      <c r="Y17" s="208">
        <v>0</v>
      </c>
      <c r="Z17" s="209">
        <v>0</v>
      </c>
      <c r="AA17" s="207"/>
      <c r="AB17" s="206"/>
      <c r="AC17" s="210"/>
      <c r="AD17" s="211">
        <v>0.26666666666666666</v>
      </c>
      <c r="AE17" s="215">
        <v>0</v>
      </c>
      <c r="AF17" s="190"/>
      <c r="AG17" s="191"/>
      <c r="AH17" s="191"/>
      <c r="AI17" s="191" t="str">
        <f>"   " &amp; TEXT(AE17,"#0.00%") &amp; " " &amp; "설계" &amp; " " &amp; IF(P17="","",TEXT(P17,"M/D-")) &amp; IF(Q17="","",TEXT(Q17,"M/D")) &amp; " "</f>
        <v xml:space="preserve">   0.00% 설계 9/29-10/12 </v>
      </c>
      <c r="AJ17" s="191"/>
      <c r="AK17" s="191"/>
      <c r="AL17" s="191"/>
      <c r="AM17" s="191"/>
      <c r="AN17" s="191"/>
    </row>
    <row r="18" spans="1:40" ht="12" customHeight="1" outlineLevel="2">
      <c r="A18" s="203"/>
      <c r="B18" s="203"/>
      <c r="C18" s="203">
        <v>3</v>
      </c>
      <c r="D18" s="216" t="s">
        <v>1121</v>
      </c>
      <c r="E18" s="204"/>
      <c r="F18" s="204"/>
      <c r="G18" s="204" t="s">
        <v>1504</v>
      </c>
      <c r="H18" s="204"/>
      <c r="I18" s="204"/>
      <c r="J18" s="204"/>
      <c r="K18" s="204"/>
      <c r="L18" s="204"/>
      <c r="M18" s="204"/>
      <c r="N18" s="204"/>
      <c r="O18" s="204" t="s">
        <v>1593</v>
      </c>
      <c r="P18" s="205">
        <v>44468</v>
      </c>
      <c r="Q18" s="205">
        <v>44474</v>
      </c>
      <c r="R18" s="206"/>
      <c r="S18" s="207">
        <v>5</v>
      </c>
      <c r="T18" s="207">
        <v>2</v>
      </c>
      <c r="U18" s="207">
        <v>5</v>
      </c>
      <c r="V18" s="207">
        <v>2</v>
      </c>
      <c r="W18" s="205"/>
      <c r="X18" s="205"/>
      <c r="Y18" s="208"/>
      <c r="Z18" s="209">
        <v>0</v>
      </c>
      <c r="AA18" s="207">
        <v>1</v>
      </c>
      <c r="AB18" s="206"/>
      <c r="AC18" s="210"/>
      <c r="AD18" s="211">
        <v>0.4</v>
      </c>
      <c r="AE18" s="214">
        <v>0</v>
      </c>
      <c r="AF18" s="190"/>
      <c r="AG18" s="191"/>
      <c r="AH18" s="191"/>
      <c r="AI18" s="191" t="str">
        <f>"   " &amp; TEXT(AE18,"#0.00%") &amp; " " &amp; "UI 설계" &amp; " " &amp; IF(P18="","",TEXT(P18,"M/D-")) &amp; IF(Q18="","",TEXT(Q18,"M/D")) &amp; " "</f>
        <v xml:space="preserve">   0.00% UI 설계 9/29-10/5 </v>
      </c>
      <c r="AJ18" s="191"/>
      <c r="AK18" s="191"/>
      <c r="AL18" s="191"/>
      <c r="AM18" s="191"/>
      <c r="AN18" s="191"/>
    </row>
    <row r="19" spans="1:40" ht="12" customHeight="1" outlineLevel="2">
      <c r="A19" s="203"/>
      <c r="B19" s="203" t="s">
        <v>1466</v>
      </c>
      <c r="C19" s="203">
        <v>3</v>
      </c>
      <c r="D19" s="216" t="s">
        <v>1122</v>
      </c>
      <c r="E19" s="204"/>
      <c r="F19" s="204"/>
      <c r="G19" s="204" t="s">
        <v>1506</v>
      </c>
      <c r="H19" s="204"/>
      <c r="I19" s="204"/>
      <c r="J19" s="204"/>
      <c r="K19" s="204"/>
      <c r="L19" s="204"/>
      <c r="M19" s="204"/>
      <c r="N19" s="204"/>
      <c r="O19" s="204"/>
      <c r="P19" s="205">
        <v>44468</v>
      </c>
      <c r="Q19" s="205">
        <v>44481</v>
      </c>
      <c r="R19" s="206"/>
      <c r="S19" s="207">
        <v>10</v>
      </c>
      <c r="T19" s="207">
        <v>2</v>
      </c>
      <c r="U19" s="207">
        <v>10</v>
      </c>
      <c r="V19" s="207">
        <v>2</v>
      </c>
      <c r="W19" s="205"/>
      <c r="X19" s="205"/>
      <c r="Y19" s="208">
        <v>0</v>
      </c>
      <c r="Z19" s="209">
        <v>0</v>
      </c>
      <c r="AA19" s="207"/>
      <c r="AB19" s="206"/>
      <c r="AC19" s="210"/>
      <c r="AD19" s="211">
        <v>0.2</v>
      </c>
      <c r="AE19" s="215">
        <v>0</v>
      </c>
      <c r="AF19" s="190"/>
      <c r="AG19" s="191"/>
      <c r="AH19" s="191"/>
      <c r="AI19" s="191" t="str">
        <f>"   " &amp; TEXT(AE19,"#0.00%") &amp; " " &amp; "시스템 설계" &amp; " " &amp; IF(P19="","",TEXT(P19,"M/D-")) &amp; IF(Q19="","",TEXT(Q19,"M/D")) &amp; " "</f>
        <v xml:space="preserve">   0.00% 시스템 설계 9/29-10/12 </v>
      </c>
      <c r="AJ19" s="191"/>
      <c r="AK19" s="191"/>
      <c r="AL19" s="191"/>
      <c r="AM19" s="191"/>
      <c r="AN19" s="191"/>
    </row>
    <row r="20" spans="1:40" ht="12" customHeight="1" outlineLevel="3">
      <c r="A20" s="203"/>
      <c r="B20" s="203"/>
      <c r="C20" s="203">
        <v>4</v>
      </c>
      <c r="D20" s="216" t="s">
        <v>1620</v>
      </c>
      <c r="E20" s="204"/>
      <c r="F20" s="204"/>
      <c r="G20" s="204"/>
      <c r="H20" s="204" t="s">
        <v>1613</v>
      </c>
      <c r="I20" s="204"/>
      <c r="J20" s="204"/>
      <c r="K20" s="204"/>
      <c r="L20" s="204"/>
      <c r="M20" s="204"/>
      <c r="N20" s="204"/>
      <c r="O20" s="204" t="s">
        <v>1593</v>
      </c>
      <c r="P20" s="205">
        <v>44468</v>
      </c>
      <c r="Q20" s="205">
        <v>44474</v>
      </c>
      <c r="R20" s="206"/>
      <c r="S20" s="207">
        <v>5</v>
      </c>
      <c r="T20" s="207">
        <v>2</v>
      </c>
      <c r="U20" s="207">
        <v>5</v>
      </c>
      <c r="V20" s="207">
        <v>2</v>
      </c>
      <c r="W20" s="205"/>
      <c r="X20" s="205"/>
      <c r="Y20" s="208"/>
      <c r="Z20" s="209">
        <v>0</v>
      </c>
      <c r="AA20" s="207">
        <v>1</v>
      </c>
      <c r="AB20" s="206"/>
      <c r="AC20" s="210"/>
      <c r="AD20" s="211">
        <v>0.4</v>
      </c>
      <c r="AE20" s="214">
        <v>0</v>
      </c>
      <c r="AF20" s="190"/>
      <c r="AG20" s="191"/>
      <c r="AH20" s="191"/>
      <c r="AI20" s="191" t="str">
        <f>"   " &amp; TEXT(AE20,"#0.00%") &amp; " " &amp; "윷놀이 기본 기능" &amp; " " &amp; IF(P20="","",TEXT(P20,"M/D-")) &amp; IF(Q20="","",TEXT(Q20,"M/D")) &amp; " "</f>
        <v xml:space="preserve">   0.00% 윷놀이 기본 기능 9/29-10/5 </v>
      </c>
      <c r="AJ20" s="191"/>
      <c r="AK20" s="191"/>
      <c r="AL20" s="191"/>
      <c r="AM20" s="191"/>
      <c r="AN20" s="191"/>
    </row>
    <row r="21" spans="1:40" ht="12" customHeight="1" outlineLevel="3">
      <c r="A21" s="203"/>
      <c r="B21" s="203"/>
      <c r="C21" s="203">
        <v>4</v>
      </c>
      <c r="D21" s="216" t="s">
        <v>1621</v>
      </c>
      <c r="E21" s="204"/>
      <c r="F21" s="204"/>
      <c r="G21" s="204"/>
      <c r="H21" s="204" t="s">
        <v>1614</v>
      </c>
      <c r="I21" s="204"/>
      <c r="J21" s="204"/>
      <c r="K21" s="204"/>
      <c r="L21" s="204"/>
      <c r="M21" s="204"/>
      <c r="N21" s="204"/>
      <c r="O21" s="204" t="s">
        <v>1594</v>
      </c>
      <c r="P21" s="205">
        <v>44475</v>
      </c>
      <c r="Q21" s="205">
        <v>44481</v>
      </c>
      <c r="R21" s="206"/>
      <c r="S21" s="207">
        <v>5</v>
      </c>
      <c r="T21" s="207">
        <v>0</v>
      </c>
      <c r="U21" s="207">
        <v>5</v>
      </c>
      <c r="V21" s="207">
        <v>0</v>
      </c>
      <c r="W21" s="205"/>
      <c r="X21" s="205"/>
      <c r="Y21" s="208"/>
      <c r="Z21" s="209">
        <v>0</v>
      </c>
      <c r="AA21" s="207">
        <v>1</v>
      </c>
      <c r="AB21" s="206"/>
      <c r="AC21" s="210"/>
      <c r="AD21" s="211">
        <v>0</v>
      </c>
      <c r="AE21" s="213">
        <v>0</v>
      </c>
      <c r="AF21" s="190"/>
      <c r="AG21" s="191"/>
      <c r="AH21" s="191"/>
      <c r="AI21" s="191"/>
      <c r="AJ21" s="191" t="str">
        <f>"   " &amp; TEXT(AE21,"#0.00%") &amp; " " &amp; "아이템 기능 추가" &amp; " " &amp; IF(P21="","",TEXT(P21,"M/D-")) &amp; IF(Q21="","",TEXT(Q21,"M/D")) &amp; " "</f>
        <v xml:space="preserve">   0.00% 아이템 기능 추가 10/6-10/12 </v>
      </c>
      <c r="AK21" s="191"/>
      <c r="AL21" s="191"/>
      <c r="AM21" s="191"/>
      <c r="AN21" s="191"/>
    </row>
    <row r="22" spans="1:40" ht="12" customHeight="1" outlineLevel="1">
      <c r="A22" s="203"/>
      <c r="B22" s="203" t="s">
        <v>1466</v>
      </c>
      <c r="C22" s="203">
        <v>2</v>
      </c>
      <c r="D22" s="216" t="s">
        <v>1622</v>
      </c>
      <c r="E22" s="204"/>
      <c r="F22" s="204" t="s">
        <v>1292</v>
      </c>
      <c r="G22" s="204"/>
      <c r="H22" s="204"/>
      <c r="I22" s="204"/>
      <c r="J22" s="204"/>
      <c r="K22" s="204"/>
      <c r="L22" s="204"/>
      <c r="M22" s="204"/>
      <c r="N22" s="204"/>
      <c r="O22" s="204"/>
      <c r="P22" s="205">
        <v>44468</v>
      </c>
      <c r="Q22" s="205">
        <v>44489</v>
      </c>
      <c r="R22" s="206"/>
      <c r="S22" s="207">
        <v>32</v>
      </c>
      <c r="T22" s="207">
        <v>2</v>
      </c>
      <c r="U22" s="207">
        <v>16</v>
      </c>
      <c r="V22" s="207">
        <v>2</v>
      </c>
      <c r="W22" s="205"/>
      <c r="X22" s="205"/>
      <c r="Y22" s="208">
        <v>0</v>
      </c>
      <c r="Z22" s="209">
        <v>0</v>
      </c>
      <c r="AA22" s="207"/>
      <c r="AB22" s="206"/>
      <c r="AC22" s="210"/>
      <c r="AD22" s="211">
        <v>6.25E-2</v>
      </c>
      <c r="AE22" s="215">
        <v>0</v>
      </c>
      <c r="AF22" s="190"/>
      <c r="AG22" s="191"/>
      <c r="AH22" s="191"/>
      <c r="AI22" s="191" t="str">
        <f>"   " &amp; TEXT(AE22,"#0.00%") &amp; " "</f>
        <v xml:space="preserve">   0.00% </v>
      </c>
      <c r="AJ22" s="191"/>
      <c r="AK22" s="191"/>
      <c r="AL22" s="191" t="str">
        <f>"    " &amp; "개발" &amp; " " &amp; IF(P22="","",TEXT(P22,"M/D-")) &amp; IF(Q22="","",TEXT(Q22,"M/D")) &amp; " "</f>
        <v xml:space="preserve">    개발 9/29-10/20 </v>
      </c>
      <c r="AM22" s="191"/>
      <c r="AN22" s="191"/>
    </row>
    <row r="23" spans="1:40" ht="12" customHeight="1" outlineLevel="2">
      <c r="A23" s="203"/>
      <c r="B23" s="203" t="s">
        <v>1466</v>
      </c>
      <c r="C23" s="203">
        <v>3</v>
      </c>
      <c r="D23" s="216" t="s">
        <v>1623</v>
      </c>
      <c r="E23" s="204"/>
      <c r="F23" s="204"/>
      <c r="G23" s="204" t="s">
        <v>1516</v>
      </c>
      <c r="H23" s="204"/>
      <c r="I23" s="204"/>
      <c r="J23" s="204"/>
      <c r="K23" s="204"/>
      <c r="L23" s="204"/>
      <c r="M23" s="204"/>
      <c r="N23" s="204"/>
      <c r="O23" s="204"/>
      <c r="P23" s="205">
        <v>44468</v>
      </c>
      <c r="Q23" s="205">
        <v>44489</v>
      </c>
      <c r="R23" s="206"/>
      <c r="S23" s="207">
        <v>26</v>
      </c>
      <c r="T23" s="207">
        <v>2</v>
      </c>
      <c r="U23" s="207">
        <v>16</v>
      </c>
      <c r="V23" s="207">
        <v>2</v>
      </c>
      <c r="W23" s="205"/>
      <c r="X23" s="205"/>
      <c r="Y23" s="208">
        <v>0</v>
      </c>
      <c r="Z23" s="209">
        <v>0</v>
      </c>
      <c r="AA23" s="207"/>
      <c r="AB23" s="206"/>
      <c r="AC23" s="210"/>
      <c r="AD23" s="211">
        <v>7.6923076923076927E-2</v>
      </c>
      <c r="AE23" s="215">
        <v>0</v>
      </c>
      <c r="AF23" s="190"/>
      <c r="AG23" s="191"/>
      <c r="AH23" s="191"/>
      <c r="AI23" s="191" t="str">
        <f>"   " &amp; TEXT(AE23,"#0.00%") &amp; " "</f>
        <v xml:space="preserve">   0.00% </v>
      </c>
      <c r="AJ23" s="191"/>
      <c r="AK23" s="191"/>
      <c r="AL23" s="191" t="str">
        <f>"    " &amp; "프로그램 개발" &amp; " " &amp; IF(P23="","",TEXT(P23,"M/D-")) &amp; IF(Q23="","",TEXT(Q23,"M/D")) &amp; " "</f>
        <v xml:space="preserve">    프로그램 개발 9/29-10/20 </v>
      </c>
      <c r="AM23" s="191"/>
      <c r="AN23" s="191"/>
    </row>
    <row r="24" spans="1:40" ht="12" customHeight="1" outlineLevel="3">
      <c r="A24" s="203"/>
      <c r="B24" s="203" t="s">
        <v>1466</v>
      </c>
      <c r="C24" s="203">
        <v>4</v>
      </c>
      <c r="D24" s="216" t="s">
        <v>1624</v>
      </c>
      <c r="E24" s="204"/>
      <c r="F24" s="204"/>
      <c r="G24" s="204"/>
      <c r="H24" s="204" t="s">
        <v>1518</v>
      </c>
      <c r="I24" s="204"/>
      <c r="J24" s="204"/>
      <c r="K24" s="204"/>
      <c r="L24" s="204"/>
      <c r="M24" s="204"/>
      <c r="N24" s="204"/>
      <c r="O24" s="204"/>
      <c r="P24" s="205">
        <v>44468</v>
      </c>
      <c r="Q24" s="205">
        <v>44489</v>
      </c>
      <c r="R24" s="206"/>
      <c r="S24" s="207">
        <v>26</v>
      </c>
      <c r="T24" s="207">
        <v>2</v>
      </c>
      <c r="U24" s="207">
        <v>16</v>
      </c>
      <c r="V24" s="207">
        <v>2</v>
      </c>
      <c r="W24" s="205"/>
      <c r="X24" s="205"/>
      <c r="Y24" s="208">
        <v>0</v>
      </c>
      <c r="Z24" s="209">
        <v>0</v>
      </c>
      <c r="AA24" s="207"/>
      <c r="AB24" s="206"/>
      <c r="AC24" s="210"/>
      <c r="AD24" s="211">
        <v>7.6923076923076927E-2</v>
      </c>
      <c r="AE24" s="215">
        <v>0</v>
      </c>
      <c r="AF24" s="190"/>
      <c r="AG24" s="191"/>
      <c r="AH24" s="191"/>
      <c r="AI24" s="191" t="str">
        <f>"   " &amp; TEXT(AE24,"#0.00%") &amp; " "</f>
        <v xml:space="preserve">   0.00% </v>
      </c>
      <c r="AJ24" s="191"/>
      <c r="AK24" s="191"/>
      <c r="AL24" s="191" t="str">
        <f>"    " &amp; "단위테스트시나리오작성" &amp; " " &amp; IF(P24="","",TEXT(P24,"M/D-")) &amp; IF(Q24="","",TEXT(Q24,"M/D")) &amp; " "</f>
        <v xml:space="preserve">    단위테스트시나리오작성 9/29-10/20 </v>
      </c>
      <c r="AM24" s="191"/>
      <c r="AN24" s="191"/>
    </row>
    <row r="25" spans="1:40" ht="12" customHeight="1" outlineLevel="4">
      <c r="A25" s="203"/>
      <c r="B25" s="203" t="s">
        <v>1466</v>
      </c>
      <c r="C25" s="203">
        <v>5</v>
      </c>
      <c r="D25" s="216" t="s">
        <v>1634</v>
      </c>
      <c r="E25" s="204"/>
      <c r="F25" s="204"/>
      <c r="G25" s="204"/>
      <c r="H25" s="204"/>
      <c r="I25" s="204" t="s">
        <v>1520</v>
      </c>
      <c r="J25" s="204"/>
      <c r="K25" s="204"/>
      <c r="L25" s="204"/>
      <c r="M25" s="204"/>
      <c r="N25" s="204"/>
      <c r="O25" s="204"/>
      <c r="P25" s="205">
        <v>44468</v>
      </c>
      <c r="Q25" s="205">
        <v>44489</v>
      </c>
      <c r="R25" s="206"/>
      <c r="S25" s="207">
        <v>26</v>
      </c>
      <c r="T25" s="207">
        <v>2</v>
      </c>
      <c r="U25" s="207">
        <v>16</v>
      </c>
      <c r="V25" s="207">
        <v>2</v>
      </c>
      <c r="W25" s="205"/>
      <c r="X25" s="205"/>
      <c r="Y25" s="208">
        <v>0</v>
      </c>
      <c r="Z25" s="209">
        <v>0</v>
      </c>
      <c r="AA25" s="207"/>
      <c r="AB25" s="206"/>
      <c r="AC25" s="210"/>
      <c r="AD25" s="211">
        <v>7.6923076923076927E-2</v>
      </c>
      <c r="AE25" s="215">
        <v>0</v>
      </c>
      <c r="AF25" s="190"/>
      <c r="AG25" s="191"/>
      <c r="AH25" s="191"/>
      <c r="AI25" s="191" t="str">
        <f>"   " &amp; TEXT(AE25,"#0.00%") &amp; " "</f>
        <v xml:space="preserve">   0.00% </v>
      </c>
      <c r="AJ25" s="191"/>
      <c r="AK25" s="191"/>
      <c r="AL25" s="191" t="str">
        <f>"    " &amp; "프로그램코딩 및 단위테스트" &amp; " " &amp; IF(P25="","",TEXT(P25,"M/D-")) &amp; IF(Q25="","",TEXT(Q25,"M/D")) &amp; " "</f>
        <v xml:space="preserve">    프로그램코딩 및 단위테스트 9/29-10/20 </v>
      </c>
      <c r="AM25" s="191"/>
      <c r="AN25" s="191"/>
    </row>
    <row r="26" spans="1:40" ht="12" customHeight="1" outlineLevel="5">
      <c r="A26" s="203"/>
      <c r="B26" s="203"/>
      <c r="C26" s="203">
        <v>6</v>
      </c>
      <c r="D26" s="216" t="s">
        <v>1635</v>
      </c>
      <c r="E26" s="204"/>
      <c r="F26" s="204"/>
      <c r="G26" s="204"/>
      <c r="H26" s="204"/>
      <c r="I26" s="204"/>
      <c r="J26" s="204" t="s">
        <v>1615</v>
      </c>
      <c r="K26" s="204"/>
      <c r="L26" s="204"/>
      <c r="M26" s="204"/>
      <c r="N26" s="204"/>
      <c r="O26" s="204" t="s">
        <v>1593</v>
      </c>
      <c r="P26" s="205">
        <v>44468</v>
      </c>
      <c r="Q26" s="205">
        <v>44474</v>
      </c>
      <c r="R26" s="206"/>
      <c r="S26" s="207">
        <v>5</v>
      </c>
      <c r="T26" s="207">
        <v>2</v>
      </c>
      <c r="U26" s="207">
        <v>5</v>
      </c>
      <c r="V26" s="207">
        <v>2</v>
      </c>
      <c r="W26" s="205"/>
      <c r="X26" s="205"/>
      <c r="Y26" s="208"/>
      <c r="Z26" s="209">
        <v>0</v>
      </c>
      <c r="AA26" s="207">
        <v>1</v>
      </c>
      <c r="AB26" s="206"/>
      <c r="AC26" s="210"/>
      <c r="AD26" s="211">
        <v>0.4</v>
      </c>
      <c r="AE26" s="214">
        <v>0</v>
      </c>
      <c r="AF26" s="190"/>
      <c r="AG26" s="191"/>
      <c r="AH26" s="191"/>
      <c r="AI26" s="191" t="str">
        <f>"   " &amp; TEXT(AE26,"#0.00%") &amp; " " &amp; "욫놀이 기본 프로그램" &amp; " " &amp; IF(P26="","",TEXT(P26,"M/D-")) &amp; IF(Q26="","",TEXT(Q26,"M/D")) &amp; " "</f>
        <v xml:space="preserve">   0.00% 욫놀이 기본 프로그램 9/29-10/5 </v>
      </c>
      <c r="AJ26" s="191"/>
      <c r="AK26" s="191"/>
      <c r="AL26" s="191"/>
      <c r="AM26" s="191"/>
      <c r="AN26" s="191"/>
    </row>
    <row r="27" spans="1:40" ht="12" customHeight="1" outlineLevel="5">
      <c r="A27" s="203"/>
      <c r="B27" s="203"/>
      <c r="C27" s="203">
        <v>6</v>
      </c>
      <c r="D27" s="216" t="s">
        <v>1636</v>
      </c>
      <c r="E27" s="204"/>
      <c r="F27" s="204"/>
      <c r="G27" s="204"/>
      <c r="H27" s="204"/>
      <c r="I27" s="204"/>
      <c r="J27" s="204" t="s">
        <v>1616</v>
      </c>
      <c r="K27" s="204"/>
      <c r="L27" s="204"/>
      <c r="M27" s="204"/>
      <c r="N27" s="204"/>
      <c r="O27" s="204" t="s">
        <v>1594</v>
      </c>
      <c r="P27" s="205">
        <v>44475</v>
      </c>
      <c r="Q27" s="205">
        <v>44481</v>
      </c>
      <c r="R27" s="206"/>
      <c r="S27" s="207">
        <v>5</v>
      </c>
      <c r="T27" s="207">
        <v>0</v>
      </c>
      <c r="U27" s="207">
        <v>5</v>
      </c>
      <c r="V27" s="207">
        <v>0</v>
      </c>
      <c r="W27" s="205"/>
      <c r="X27" s="205"/>
      <c r="Y27" s="208"/>
      <c r="Z27" s="209">
        <v>0</v>
      </c>
      <c r="AA27" s="207"/>
      <c r="AB27" s="206"/>
      <c r="AC27" s="210"/>
      <c r="AD27" s="211">
        <v>0</v>
      </c>
      <c r="AE27" s="213">
        <v>0</v>
      </c>
      <c r="AF27" s="190"/>
      <c r="AG27" s="191"/>
      <c r="AH27" s="191"/>
      <c r="AI27" s="191"/>
      <c r="AJ27" s="191" t="str">
        <f>"   " &amp; TEXT(AE27,"#0.00%") &amp; " " &amp; "윳놀이 아이템1" &amp; " " &amp; IF(P27="","",TEXT(P27,"M/D-")) &amp; IF(Q27="","",TEXT(Q27,"M/D")) &amp; " "</f>
        <v xml:space="preserve">   0.00% 윳놀이 아이템1 10/6-10/12 </v>
      </c>
      <c r="AK27" s="191"/>
      <c r="AL27" s="191"/>
      <c r="AM27" s="191"/>
      <c r="AN27" s="191"/>
    </row>
    <row r="28" spans="1:40" ht="12" customHeight="1" outlineLevel="5">
      <c r="A28" s="203"/>
      <c r="B28" s="203"/>
      <c r="C28" s="203">
        <v>6</v>
      </c>
      <c r="D28" s="216" t="s">
        <v>1637</v>
      </c>
      <c r="E28" s="204"/>
      <c r="F28" s="204"/>
      <c r="G28" s="204"/>
      <c r="H28" s="204"/>
      <c r="I28" s="204"/>
      <c r="J28" s="204" t="s">
        <v>1617</v>
      </c>
      <c r="K28" s="204"/>
      <c r="L28" s="204"/>
      <c r="M28" s="204"/>
      <c r="N28" s="204"/>
      <c r="O28" s="204" t="s">
        <v>1594</v>
      </c>
      <c r="P28" s="205">
        <v>44475</v>
      </c>
      <c r="Q28" s="205">
        <v>44481</v>
      </c>
      <c r="R28" s="206"/>
      <c r="S28" s="207">
        <v>5</v>
      </c>
      <c r="T28" s="207">
        <v>0</v>
      </c>
      <c r="U28" s="207">
        <v>5</v>
      </c>
      <c r="V28" s="207">
        <v>0</v>
      </c>
      <c r="W28" s="205"/>
      <c r="X28" s="205"/>
      <c r="Y28" s="208"/>
      <c r="Z28" s="209">
        <v>0</v>
      </c>
      <c r="AA28" s="207"/>
      <c r="AB28" s="206"/>
      <c r="AC28" s="210"/>
      <c r="AD28" s="211">
        <v>0</v>
      </c>
      <c r="AE28" s="213">
        <v>0</v>
      </c>
      <c r="AF28" s="190"/>
      <c r="AG28" s="191"/>
      <c r="AH28" s="191"/>
      <c r="AI28" s="191"/>
      <c r="AJ28" s="191" t="str">
        <f>"   " &amp; TEXT(AE28,"#0.00%") &amp; " " &amp; "윳놀이 아이템2" &amp; " " &amp; IF(P28="","",TEXT(P28,"M/D-")) &amp; IF(Q28="","",TEXT(Q28,"M/D")) &amp; " "</f>
        <v xml:space="preserve">   0.00% 윳놀이 아이템2 10/6-10/12 </v>
      </c>
      <c r="AK28" s="191"/>
      <c r="AL28" s="191"/>
      <c r="AM28" s="191"/>
      <c r="AN28" s="191"/>
    </row>
    <row r="29" spans="1:40" ht="12" customHeight="1" outlineLevel="5">
      <c r="A29" s="203"/>
      <c r="B29" s="203"/>
      <c r="C29" s="203">
        <v>6</v>
      </c>
      <c r="D29" s="216" t="s">
        <v>1638</v>
      </c>
      <c r="E29" s="204"/>
      <c r="F29" s="204"/>
      <c r="G29" s="204"/>
      <c r="H29" s="204"/>
      <c r="I29" s="204"/>
      <c r="J29" s="204" t="s">
        <v>1618</v>
      </c>
      <c r="K29" s="204"/>
      <c r="L29" s="204"/>
      <c r="M29" s="204"/>
      <c r="N29" s="204"/>
      <c r="O29" s="204" t="s">
        <v>1594</v>
      </c>
      <c r="P29" s="205">
        <v>44475</v>
      </c>
      <c r="Q29" s="205">
        <v>44481</v>
      </c>
      <c r="R29" s="206"/>
      <c r="S29" s="207">
        <v>5</v>
      </c>
      <c r="T29" s="207">
        <v>0</v>
      </c>
      <c r="U29" s="207">
        <v>5</v>
      </c>
      <c r="V29" s="207">
        <v>0</v>
      </c>
      <c r="W29" s="205"/>
      <c r="X29" s="205"/>
      <c r="Y29" s="208"/>
      <c r="Z29" s="209">
        <v>0</v>
      </c>
      <c r="AA29" s="207"/>
      <c r="AB29" s="206"/>
      <c r="AC29" s="210"/>
      <c r="AD29" s="211">
        <v>0</v>
      </c>
      <c r="AE29" s="213">
        <v>0</v>
      </c>
      <c r="AF29" s="190"/>
      <c r="AG29" s="191"/>
      <c r="AH29" s="191"/>
      <c r="AI29" s="191"/>
      <c r="AJ29" s="191" t="str">
        <f>"   " &amp; TEXT(AE29,"#0.00%") &amp; " " &amp; "윷놀이 아이템3" &amp; " " &amp; IF(P29="","",TEXT(P29,"M/D-")) &amp; IF(Q29="","",TEXT(Q29,"M/D")) &amp; " "</f>
        <v xml:space="preserve">   0.00% 윷놀이 아이템3 10/6-10/12 </v>
      </c>
      <c r="AK29" s="191"/>
      <c r="AL29" s="191"/>
      <c r="AM29" s="191"/>
      <c r="AN29" s="191"/>
    </row>
    <row r="30" spans="1:40" ht="12" customHeight="1" outlineLevel="5">
      <c r="A30" s="203"/>
      <c r="B30" s="203"/>
      <c r="C30" s="203">
        <v>6</v>
      </c>
      <c r="D30" s="216" t="s">
        <v>1639</v>
      </c>
      <c r="E30" s="204"/>
      <c r="F30" s="204"/>
      <c r="G30" s="204"/>
      <c r="H30" s="204"/>
      <c r="I30" s="204"/>
      <c r="J30" s="204" t="s">
        <v>1619</v>
      </c>
      <c r="K30" s="204"/>
      <c r="L30" s="204"/>
      <c r="M30" s="204"/>
      <c r="N30" s="204"/>
      <c r="O30" s="204" t="s">
        <v>1595</v>
      </c>
      <c r="P30" s="205">
        <v>44482</v>
      </c>
      <c r="Q30" s="205">
        <v>44489</v>
      </c>
      <c r="R30" s="206"/>
      <c r="S30" s="207">
        <v>6</v>
      </c>
      <c r="T30" s="207">
        <v>0</v>
      </c>
      <c r="U30" s="207">
        <v>6</v>
      </c>
      <c r="V30" s="207">
        <v>0</v>
      </c>
      <c r="W30" s="205"/>
      <c r="X30" s="205"/>
      <c r="Y30" s="208"/>
      <c r="Z30" s="209">
        <v>0</v>
      </c>
      <c r="AA30" s="207"/>
      <c r="AB30" s="206"/>
      <c r="AC30" s="210"/>
      <c r="AD30" s="211">
        <v>0</v>
      </c>
      <c r="AE30" s="213">
        <v>0</v>
      </c>
      <c r="AF30" s="190"/>
      <c r="AG30" s="191"/>
      <c r="AH30" s="191"/>
      <c r="AI30" s="191"/>
      <c r="AJ30" s="191"/>
      <c r="AK30" s="191" t="str">
        <f>"   " &amp; TEXT(AE30,"#0.00%") &amp; " " &amp; "윷놀이 아에템 병합" &amp; " " &amp; IF(P30="","",TEXT(P30,"M/D-")) &amp; IF(Q30="","",TEXT(Q30,"M/D")) &amp; " "</f>
        <v xml:space="preserve">   0.00% 윷놀이 아에템 병합 10/13-10/20 </v>
      </c>
      <c r="AL30" s="191"/>
      <c r="AM30" s="191"/>
      <c r="AN30" s="191"/>
    </row>
    <row r="31" spans="1:40" ht="12" customHeight="1" outlineLevel="2">
      <c r="A31" s="203"/>
      <c r="B31" s="203" t="s">
        <v>1466</v>
      </c>
      <c r="C31" s="203">
        <v>3</v>
      </c>
      <c r="D31" s="216" t="s">
        <v>1625</v>
      </c>
      <c r="E31" s="204"/>
      <c r="F31" s="204"/>
      <c r="G31" s="204" t="s">
        <v>1296</v>
      </c>
      <c r="H31" s="204"/>
      <c r="I31" s="204"/>
      <c r="J31" s="204"/>
      <c r="K31" s="204"/>
      <c r="L31" s="204"/>
      <c r="M31" s="204"/>
      <c r="N31" s="204"/>
      <c r="O31" s="204"/>
      <c r="P31" s="205">
        <v>44482</v>
      </c>
      <c r="Q31" s="205">
        <v>44489</v>
      </c>
      <c r="R31" s="206"/>
      <c r="S31" s="207">
        <v>6</v>
      </c>
      <c r="T31" s="207">
        <v>0</v>
      </c>
      <c r="U31" s="207">
        <v>6</v>
      </c>
      <c r="V31" s="207">
        <v>0</v>
      </c>
      <c r="W31" s="205"/>
      <c r="X31" s="205"/>
      <c r="Y31" s="208">
        <v>0</v>
      </c>
      <c r="Z31" s="209">
        <v>0</v>
      </c>
      <c r="AA31" s="207"/>
      <c r="AB31" s="206"/>
      <c r="AC31" s="210"/>
      <c r="AD31" s="211">
        <v>0</v>
      </c>
      <c r="AE31" s="219">
        <v>0</v>
      </c>
      <c r="AF31" s="190"/>
      <c r="AG31" s="191"/>
      <c r="AH31" s="191"/>
      <c r="AI31" s="191"/>
      <c r="AJ31" s="191"/>
      <c r="AK31" s="191" t="str">
        <f>"   " &amp; TEXT(AE31,"#0.00%") &amp; " " &amp; "테스트" &amp; " " &amp; IF(P31="","",TEXT(P31,"M/D-")) &amp; IF(Q31="","",TEXT(Q31,"M/D")) &amp; " "</f>
        <v xml:space="preserve">   0.00% 테스트 10/13-10/20 </v>
      </c>
      <c r="AL31" s="191"/>
      <c r="AM31" s="191"/>
      <c r="AN31" s="191"/>
    </row>
    <row r="32" spans="1:40" ht="12" customHeight="1" outlineLevel="3">
      <c r="A32" s="203"/>
      <c r="B32" s="203"/>
      <c r="C32" s="203">
        <v>4</v>
      </c>
      <c r="D32" s="216" t="s">
        <v>1626</v>
      </c>
      <c r="E32" s="204"/>
      <c r="F32" s="204"/>
      <c r="G32" s="204"/>
      <c r="H32" s="204" t="s">
        <v>1536</v>
      </c>
      <c r="I32" s="204"/>
      <c r="J32" s="204"/>
      <c r="K32" s="204"/>
      <c r="L32" s="204"/>
      <c r="M32" s="204"/>
      <c r="N32" s="204"/>
      <c r="O32" s="204" t="s">
        <v>1595</v>
      </c>
      <c r="P32" s="205">
        <v>44482</v>
      </c>
      <c r="Q32" s="205">
        <v>44489</v>
      </c>
      <c r="R32" s="206"/>
      <c r="S32" s="207">
        <v>6</v>
      </c>
      <c r="T32" s="207">
        <v>0</v>
      </c>
      <c r="U32" s="207">
        <v>6</v>
      </c>
      <c r="V32" s="207">
        <v>0</v>
      </c>
      <c r="W32" s="205"/>
      <c r="X32" s="205"/>
      <c r="Y32" s="208"/>
      <c r="Z32" s="209">
        <v>0</v>
      </c>
      <c r="AA32" s="207">
        <v>1</v>
      </c>
      <c r="AB32" s="206"/>
      <c r="AC32" s="210"/>
      <c r="AD32" s="211">
        <v>0</v>
      </c>
      <c r="AE32" s="213">
        <v>0</v>
      </c>
      <c r="AF32" s="190"/>
      <c r="AG32" s="191"/>
      <c r="AH32" s="191"/>
      <c r="AI32" s="191"/>
      <c r="AJ32" s="191"/>
      <c r="AK32" s="191" t="str">
        <f>"   " &amp; TEXT(AE32,"#0.00%") &amp; " " &amp; "통합테스트실시" &amp; " " &amp; IF(P32="","",TEXT(P32,"M/D-")) &amp; IF(Q32="","",TEXT(Q32,"M/D")) &amp; " "</f>
        <v xml:space="preserve">   0.00% 통합테스트실시 10/13-10/20 </v>
      </c>
      <c r="AL32" s="191"/>
      <c r="AM32" s="191"/>
      <c r="AN32" s="191"/>
    </row>
    <row r="33" spans="1:40" ht="12" customHeight="1" outlineLevel="1">
      <c r="A33" s="203"/>
      <c r="B33" s="203" t="s">
        <v>1466</v>
      </c>
      <c r="C33" s="203">
        <v>2</v>
      </c>
      <c r="D33" s="216" t="s">
        <v>1627</v>
      </c>
      <c r="E33" s="204"/>
      <c r="F33" s="204" t="s">
        <v>1539</v>
      </c>
      <c r="G33" s="204"/>
      <c r="H33" s="204"/>
      <c r="I33" s="204"/>
      <c r="J33" s="204"/>
      <c r="K33" s="204"/>
      <c r="L33" s="204"/>
      <c r="M33" s="204"/>
      <c r="N33" s="204"/>
      <c r="O33" s="204"/>
      <c r="P33" s="205">
        <v>44468</v>
      </c>
      <c r="Q33" s="205">
        <v>44489</v>
      </c>
      <c r="R33" s="206"/>
      <c r="S33" s="207">
        <v>21</v>
      </c>
      <c r="T33" s="207">
        <v>4</v>
      </c>
      <c r="U33" s="207">
        <v>16</v>
      </c>
      <c r="V33" s="207">
        <v>2</v>
      </c>
      <c r="W33" s="205"/>
      <c r="X33" s="205"/>
      <c r="Y33" s="208">
        <v>0</v>
      </c>
      <c r="Z33" s="209">
        <v>0</v>
      </c>
      <c r="AA33" s="207"/>
      <c r="AB33" s="206"/>
      <c r="AC33" s="210"/>
      <c r="AD33" s="211">
        <v>0.19047619047619047</v>
      </c>
      <c r="AE33" s="215">
        <v>0</v>
      </c>
      <c r="AF33" s="190"/>
      <c r="AG33" s="191"/>
      <c r="AH33" s="191"/>
      <c r="AI33" s="191" t="str">
        <f>"   " &amp; TEXT(AE33,"#0.00%") &amp; " "</f>
        <v xml:space="preserve">   0.00% </v>
      </c>
      <c r="AJ33" s="191"/>
      <c r="AK33" s="191"/>
      <c r="AL33" s="191" t="str">
        <f>"    " &amp; "구현" &amp; " " &amp; IF(P33="","",TEXT(P33,"M/D-")) &amp; IF(Q33="","",TEXT(Q33,"M/D")) &amp; " "</f>
        <v xml:space="preserve">    구현 9/29-10/20 </v>
      </c>
      <c r="AM33" s="191"/>
      <c r="AN33" s="191"/>
    </row>
    <row r="34" spans="1:40" ht="12" customHeight="1" outlineLevel="2">
      <c r="A34" s="203"/>
      <c r="B34" s="203"/>
      <c r="C34" s="203">
        <v>3</v>
      </c>
      <c r="D34" s="216" t="s">
        <v>1628</v>
      </c>
      <c r="E34" s="204"/>
      <c r="F34" s="204"/>
      <c r="G34" s="248" t="s">
        <v>1590</v>
      </c>
      <c r="H34" s="204"/>
      <c r="I34" s="204"/>
      <c r="J34" s="204"/>
      <c r="K34" s="204"/>
      <c r="L34" s="204"/>
      <c r="M34" s="204"/>
      <c r="N34" s="204"/>
      <c r="O34" s="204" t="s">
        <v>1593</v>
      </c>
      <c r="P34" s="205">
        <v>44468</v>
      </c>
      <c r="Q34" s="205">
        <v>44474</v>
      </c>
      <c r="R34" s="206"/>
      <c r="S34" s="207">
        <v>5</v>
      </c>
      <c r="T34" s="207">
        <v>2</v>
      </c>
      <c r="U34" s="207">
        <v>5</v>
      </c>
      <c r="V34" s="207">
        <v>2</v>
      </c>
      <c r="W34" s="205"/>
      <c r="X34" s="205"/>
      <c r="Y34" s="208"/>
      <c r="Z34" s="209">
        <v>0</v>
      </c>
      <c r="AA34" s="207"/>
      <c r="AB34" s="206"/>
      <c r="AC34" s="210"/>
      <c r="AD34" s="211">
        <v>0.4</v>
      </c>
      <c r="AE34" s="214">
        <v>0</v>
      </c>
      <c r="AF34" s="190"/>
      <c r="AG34" s="191"/>
      <c r="AH34" s="191"/>
      <c r="AI34" s="191" t="str">
        <f>"   " &amp; TEXT(AE34,"#0.00%") &amp; " " &amp; "UI 구현" &amp; " " &amp; IF(P34="","",TEXT(P34,"M/D-")) &amp; IF(Q34="","",TEXT(Q34,"M/D")) &amp; " "</f>
        <v xml:space="preserve">   0.00% UI 구현 9/29-10/5 </v>
      </c>
      <c r="AJ34" s="191"/>
      <c r="AK34" s="191"/>
      <c r="AL34" s="191"/>
      <c r="AM34" s="191"/>
      <c r="AN34" s="191"/>
    </row>
    <row r="35" spans="1:40" ht="12" customHeight="1" outlineLevel="2">
      <c r="A35" s="203"/>
      <c r="B35" s="203"/>
      <c r="C35" s="203">
        <v>3</v>
      </c>
      <c r="D35" s="216" t="s">
        <v>1629</v>
      </c>
      <c r="E35" s="204"/>
      <c r="F35" s="204"/>
      <c r="G35" s="204" t="s">
        <v>1631</v>
      </c>
      <c r="H35" s="204"/>
      <c r="I35" s="204"/>
      <c r="J35" s="204"/>
      <c r="K35" s="204"/>
      <c r="L35" s="204"/>
      <c r="M35" s="204"/>
      <c r="N35" s="204"/>
      <c r="O35" s="204" t="s">
        <v>1593</v>
      </c>
      <c r="P35" s="205">
        <v>44468</v>
      </c>
      <c r="Q35" s="205">
        <v>44474</v>
      </c>
      <c r="R35" s="206"/>
      <c r="S35" s="207">
        <v>5</v>
      </c>
      <c r="T35" s="207">
        <v>2</v>
      </c>
      <c r="U35" s="207">
        <v>5</v>
      </c>
      <c r="V35" s="207">
        <v>2</v>
      </c>
      <c r="W35" s="205"/>
      <c r="X35" s="205"/>
      <c r="Y35" s="208"/>
      <c r="Z35" s="209">
        <v>0</v>
      </c>
      <c r="AA35" s="207"/>
      <c r="AB35" s="206"/>
      <c r="AC35" s="210"/>
      <c r="AD35" s="211">
        <v>0.4</v>
      </c>
      <c r="AE35" s="214">
        <v>0</v>
      </c>
      <c r="AF35" s="190"/>
      <c r="AG35" s="191"/>
      <c r="AH35" s="191"/>
      <c r="AI35" s="191" t="str">
        <f>"   " &amp; TEXT(AE35,"#0.00%") &amp; " " &amp; "윷놀이 기본 기능 구현" &amp; " " &amp; IF(P35="","",TEXT(P35,"M/D-")) &amp; IF(Q35="","",TEXT(Q35,"M/D")) &amp; " "</f>
        <v xml:space="preserve">   0.00% 윷놀이 기본 기능 구현 9/29-10/5 </v>
      </c>
      <c r="AJ35" s="191"/>
      <c r="AK35" s="191"/>
      <c r="AL35" s="191"/>
      <c r="AM35" s="191"/>
      <c r="AN35" s="191"/>
    </row>
    <row r="36" spans="1:40" ht="12" customHeight="1" outlineLevel="2">
      <c r="A36" s="203"/>
      <c r="B36" s="203"/>
      <c r="C36" s="203">
        <v>3</v>
      </c>
      <c r="D36" s="216" t="s">
        <v>1630</v>
      </c>
      <c r="E36" s="204"/>
      <c r="F36" s="204"/>
      <c r="G36" s="204" t="s">
        <v>1632</v>
      </c>
      <c r="H36" s="204"/>
      <c r="I36" s="204"/>
      <c r="J36" s="204"/>
      <c r="K36" s="204"/>
      <c r="L36" s="204"/>
      <c r="M36" s="204"/>
      <c r="N36" s="204"/>
      <c r="O36" s="204" t="s">
        <v>1633</v>
      </c>
      <c r="P36" s="205">
        <v>44475</v>
      </c>
      <c r="Q36" s="205">
        <v>44489</v>
      </c>
      <c r="R36" s="206"/>
      <c r="S36" s="207">
        <v>11</v>
      </c>
      <c r="T36" s="207">
        <v>0</v>
      </c>
      <c r="U36" s="207">
        <v>11</v>
      </c>
      <c r="V36" s="207">
        <v>0</v>
      </c>
      <c r="W36" s="205"/>
      <c r="X36" s="205"/>
      <c r="Y36" s="208"/>
      <c r="Z36" s="209">
        <v>0</v>
      </c>
      <c r="AA36" s="207"/>
      <c r="AB36" s="206"/>
      <c r="AC36" s="210"/>
      <c r="AD36" s="211">
        <v>0</v>
      </c>
      <c r="AE36" s="213">
        <v>0</v>
      </c>
      <c r="AF36" s="190"/>
      <c r="AG36" s="191"/>
      <c r="AH36" s="191"/>
      <c r="AI36" s="191"/>
      <c r="AJ36" s="191" t="str">
        <f>"   " &amp; TEXT(AE36,"#0.00%") &amp; " " &amp; "윳놀이 아이템 구현" &amp; " " &amp; IF(P36="","",TEXT(P36,"M/D-")) &amp; IF(Q36="","",TEXT(Q36,"M/D")) &amp; " "</f>
        <v xml:space="preserve">   0.00% 윳놀이 아이템 구현 10/6-10/20 </v>
      </c>
      <c r="AK36" s="191"/>
      <c r="AL36" s="191"/>
      <c r="AM36" s="191"/>
      <c r="AN36" s="191"/>
    </row>
    <row r="37" spans="1:40" ht="12" customHeight="1">
      <c r="A37" s="238"/>
      <c r="B37" s="238"/>
      <c r="C37" s="238"/>
      <c r="D37" s="239"/>
      <c r="E37" s="240"/>
      <c r="F37" s="240"/>
      <c r="G37" s="240"/>
      <c r="H37" s="240"/>
      <c r="I37" s="240"/>
      <c r="J37" s="240"/>
      <c r="K37" s="240"/>
      <c r="L37" s="240"/>
      <c r="M37" s="240"/>
      <c r="N37" s="240"/>
      <c r="O37" s="241"/>
      <c r="P37" s="241"/>
      <c r="Q37" s="242"/>
      <c r="R37" s="243"/>
      <c r="S37" s="243"/>
      <c r="T37" s="243"/>
      <c r="U37" s="243"/>
      <c r="V37" s="241"/>
      <c r="W37" s="241"/>
      <c r="X37" s="244"/>
      <c r="Y37" s="245"/>
      <c r="Z37" s="243"/>
      <c r="AA37" s="242"/>
      <c r="AB37" s="246"/>
      <c r="AC37" s="247">
        <v>1</v>
      </c>
      <c r="AD37" s="308">
        <v>0</v>
      </c>
      <c r="AE37" s="307"/>
      <c r="AF37" s="189"/>
      <c r="AG37" s="189"/>
      <c r="AH37" s="189"/>
      <c r="AI37" s="189"/>
      <c r="AJ37" s="189"/>
      <c r="AK37" s="189"/>
      <c r="AL37" s="189"/>
      <c r="AM37" s="189"/>
      <c r="AN37" s="189"/>
    </row>
    <row r="38" spans="1:40" ht="12" customHeight="1">
      <c r="A38" s="203"/>
      <c r="B38" s="203"/>
      <c r="C38" s="203"/>
      <c r="D38" s="216"/>
      <c r="E38" s="204"/>
      <c r="F38" s="204"/>
      <c r="G38" s="204"/>
      <c r="H38" s="204"/>
      <c r="I38" s="204"/>
      <c r="J38" s="204"/>
      <c r="K38" s="204"/>
      <c r="L38" s="204"/>
      <c r="M38" s="204"/>
      <c r="N38" s="204"/>
      <c r="O38" s="205"/>
      <c r="P38" s="205"/>
      <c r="Q38" s="206"/>
      <c r="R38" s="207"/>
      <c r="S38" s="207"/>
      <c r="T38" s="207"/>
      <c r="U38" s="207"/>
      <c r="V38" s="205"/>
      <c r="W38" s="205"/>
      <c r="X38" s="208"/>
      <c r="Y38" s="209"/>
      <c r="Z38" s="207"/>
      <c r="AA38" s="206"/>
      <c r="AB38" s="210"/>
      <c r="AC38" s="211">
        <v>0</v>
      </c>
      <c r="AD38" s="237">
        <v>0</v>
      </c>
      <c r="AE38" s="190"/>
    </row>
    <row r="39" spans="1:40" ht="12" customHeight="1">
      <c r="A39" s="203"/>
      <c r="B39" s="203"/>
      <c r="C39" s="203"/>
      <c r="D39" s="216"/>
      <c r="E39" s="204"/>
      <c r="F39" s="204"/>
      <c r="G39" s="204"/>
      <c r="H39" s="204"/>
      <c r="I39" s="204"/>
      <c r="J39" s="204"/>
      <c r="K39" s="204"/>
      <c r="L39" s="204"/>
      <c r="M39" s="204"/>
      <c r="N39" s="204"/>
      <c r="O39" s="204"/>
      <c r="P39" s="205"/>
      <c r="Q39" s="205"/>
      <c r="R39" s="206"/>
      <c r="S39" s="207"/>
      <c r="T39" s="207"/>
      <c r="U39" s="207"/>
      <c r="V39" s="207"/>
      <c r="W39" s="205"/>
      <c r="X39" s="205"/>
      <c r="Y39" s="208"/>
      <c r="Z39" s="209"/>
      <c r="AA39" s="207"/>
      <c r="AB39" s="206"/>
      <c r="AC39" s="210"/>
      <c r="AD39" s="211">
        <v>1</v>
      </c>
      <c r="AE39" s="214">
        <v>0</v>
      </c>
    </row>
    <row r="40" spans="1:40" ht="12" customHeight="1">
      <c r="A40" s="203"/>
      <c r="B40" s="203"/>
      <c r="C40" s="203"/>
      <c r="D40" s="216"/>
      <c r="E40" s="204"/>
      <c r="F40" s="204"/>
      <c r="G40" s="204"/>
      <c r="H40" s="204"/>
      <c r="I40" s="204"/>
      <c r="J40" s="204"/>
      <c r="K40" s="204"/>
      <c r="L40" s="204"/>
      <c r="M40" s="204"/>
      <c r="N40" s="204"/>
      <c r="O40" s="204"/>
      <c r="P40" s="205"/>
      <c r="Q40" s="205"/>
      <c r="R40" s="206"/>
      <c r="S40" s="207"/>
      <c r="T40" s="207"/>
      <c r="U40" s="207"/>
      <c r="V40" s="207"/>
      <c r="W40" s="205"/>
      <c r="X40" s="205"/>
      <c r="Y40" s="208"/>
      <c r="Z40" s="209"/>
      <c r="AA40" s="207"/>
      <c r="AB40" s="206"/>
      <c r="AC40" s="210"/>
      <c r="AD40" s="211">
        <v>1</v>
      </c>
      <c r="AE40" s="214">
        <v>0</v>
      </c>
    </row>
    <row r="41" spans="1:40" ht="12" customHeight="1">
      <c r="A41" s="203">
        <v>1</v>
      </c>
      <c r="B41" s="203"/>
      <c r="C41" s="203">
        <v>4</v>
      </c>
      <c r="D41" s="216"/>
      <c r="E41" s="204"/>
      <c r="F41" s="204"/>
      <c r="G41" s="204"/>
      <c r="H41" s="204"/>
      <c r="I41" s="204"/>
      <c r="J41" s="204"/>
      <c r="K41" s="204"/>
      <c r="L41" s="204"/>
      <c r="M41" s="204"/>
      <c r="N41" s="204"/>
      <c r="O41" s="204"/>
      <c r="P41" s="205"/>
      <c r="Q41" s="205"/>
      <c r="R41" s="206"/>
      <c r="S41" s="207"/>
      <c r="T41" s="207"/>
      <c r="U41" s="207"/>
      <c r="V41" s="207"/>
      <c r="W41" s="205"/>
      <c r="X41" s="205"/>
      <c r="Y41" s="208"/>
      <c r="Z41" s="209"/>
      <c r="AA41" s="207"/>
      <c r="AB41" s="206"/>
      <c r="AC41" s="210"/>
      <c r="AD41" s="211">
        <v>0</v>
      </c>
      <c r="AE41" s="213">
        <v>0</v>
      </c>
    </row>
    <row r="42" spans="1:40" ht="12" customHeight="1">
      <c r="A42" s="192"/>
      <c r="B42" s="192"/>
      <c r="C42" s="192"/>
      <c r="D42" s="193"/>
      <c r="E42" s="194"/>
      <c r="F42" s="194"/>
      <c r="G42" s="194"/>
      <c r="H42" s="194"/>
      <c r="I42" s="194"/>
      <c r="J42" s="194"/>
      <c r="K42" s="194"/>
      <c r="L42" s="194"/>
      <c r="M42" s="194"/>
      <c r="N42" s="194"/>
      <c r="O42" s="194"/>
      <c r="P42" s="195"/>
      <c r="Q42" s="195"/>
      <c r="R42" s="196"/>
      <c r="S42" s="197"/>
      <c r="T42" s="197"/>
      <c r="U42" s="197"/>
      <c r="V42" s="197"/>
      <c r="W42" s="195"/>
      <c r="X42" s="195"/>
      <c r="Y42" s="198"/>
      <c r="Z42" s="199"/>
      <c r="AA42" s="197"/>
      <c r="AB42" s="196"/>
      <c r="AC42" s="200"/>
      <c r="AD42" s="201"/>
      <c r="AE42" s="202"/>
    </row>
  </sheetData>
  <sheetProtection formatCells="0" formatColumns="0" formatRows="0" insertColumns="0" insertRows="0" insertHyperlinks="0" deleteColumns="0" deleteRows="0" sort="0" autoFilter="0" pivotTables="0"/>
  <dataConsolidate/>
  <mergeCells count="27">
    <mergeCell ref="D2:F2"/>
    <mergeCell ref="O3:O4"/>
    <mergeCell ref="V3:V4"/>
    <mergeCell ref="X3:X4"/>
    <mergeCell ref="Z3:Z4"/>
    <mergeCell ref="P3:P4"/>
    <mergeCell ref="Q3:Q4"/>
    <mergeCell ref="S3:S4"/>
    <mergeCell ref="R3:R4"/>
    <mergeCell ref="T3:T4"/>
    <mergeCell ref="W3:W4"/>
    <mergeCell ref="U3:U4"/>
    <mergeCell ref="Y3:Y4"/>
    <mergeCell ref="AA3:AA4"/>
    <mergeCell ref="AC3:AC4"/>
    <mergeCell ref="AE3:AE4"/>
    <mergeCell ref="A3:A4"/>
    <mergeCell ref="B3:B4"/>
    <mergeCell ref="C3:C4"/>
    <mergeCell ref="D3:D4"/>
    <mergeCell ref="E3:N4"/>
    <mergeCell ref="AD3:AD4"/>
    <mergeCell ref="AB3:AB4"/>
    <mergeCell ref="AF3:AI3"/>
    <mergeCell ref="AF2:AI2"/>
    <mergeCell ref="AJ3:AM3"/>
    <mergeCell ref="AJ2:AM2"/>
  </mergeCells>
  <phoneticPr fontId="4" type="noConversion"/>
  <conditionalFormatting sqref="D5:AD36">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7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1445</v>
      </c>
      <c r="B1" s="2"/>
      <c r="C1" s="2"/>
      <c r="D1" s="2"/>
      <c r="E1" s="2"/>
      <c r="F1" s="2"/>
      <c r="G1" s="2"/>
      <c r="H1" s="2"/>
      <c r="I1" s="2"/>
      <c r="J1" s="2"/>
      <c r="K1" s="2"/>
      <c r="L1" s="301"/>
      <c r="M1" s="302"/>
      <c r="N1" s="302"/>
      <c r="O1" s="3"/>
      <c r="P1" s="3"/>
      <c r="Q1" s="3"/>
    </row>
    <row r="2" spans="1:17" s="7" customFormat="1" ht="13.8">
      <c r="A2" s="5" t="s">
        <v>1447</v>
      </c>
      <c r="B2" s="6"/>
    </row>
    <row r="3" spans="1:17" s="7" customFormat="1" ht="13.8">
      <c r="A3" s="5" t="s">
        <v>1448</v>
      </c>
      <c r="B3" s="6"/>
    </row>
    <row r="4" spans="1:17" s="7" customFormat="1" ht="13.8">
      <c r="A4" s="303"/>
      <c r="B4" s="303"/>
      <c r="C4" s="8"/>
      <c r="D4" s="9"/>
      <c r="E4" s="9"/>
      <c r="F4" s="9"/>
    </row>
    <row r="5" spans="1:17" s="15" customFormat="1" ht="13.8">
      <c r="A5" s="10"/>
      <c r="B5" s="11"/>
      <c r="C5" s="12"/>
      <c r="D5" s="13"/>
      <c r="E5" s="14"/>
      <c r="F5" s="14"/>
      <c r="G5" s="14"/>
    </row>
    <row r="6" spans="1:17" s="15" customFormat="1" ht="13.8">
      <c r="A6" s="16" t="s">
        <v>1449</v>
      </c>
      <c r="B6" s="17">
        <v>107</v>
      </c>
      <c r="C6" s="15" t="s">
        <v>0</v>
      </c>
      <c r="D6" s="300" t="s">
        <v>1450</v>
      </c>
      <c r="E6" s="300"/>
      <c r="F6" s="300"/>
      <c r="G6" s="30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1451</v>
      </c>
      <c r="B9" s="17">
        <v>31</v>
      </c>
      <c r="C9" s="15" t="s">
        <v>0</v>
      </c>
      <c r="D9" s="299" t="s">
        <v>1452</v>
      </c>
      <c r="E9" s="299"/>
      <c r="F9" s="299"/>
      <c r="G9" s="29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1446</v>
      </c>
      <c r="B12" s="17">
        <v>0</v>
      </c>
      <c r="C12" s="15" t="s">
        <v>0</v>
      </c>
      <c r="D12" s="304" t="s">
        <v>1586</v>
      </c>
      <c r="E12" s="299"/>
      <c r="F12" s="299"/>
      <c r="G12" s="29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c r="C15" s="15" t="s">
        <v>0</v>
      </c>
      <c r="D15" s="299" t="s">
        <v>1454</v>
      </c>
      <c r="E15" s="299"/>
      <c r="F15" s="299"/>
      <c r="G15" s="29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1455</v>
      </c>
      <c r="B18" s="39">
        <v>0.28971962616822428</v>
      </c>
      <c r="D18" s="299" t="s">
        <v>1456</v>
      </c>
      <c r="E18" s="299"/>
      <c r="F18" s="299"/>
      <c r="G18" s="29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1457</v>
      </c>
      <c r="B21" s="39">
        <v>0</v>
      </c>
      <c r="D21" s="299" t="s">
        <v>1458</v>
      </c>
      <c r="E21" s="299"/>
      <c r="F21" s="299"/>
      <c r="G21" s="29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1459</v>
      </c>
      <c r="B24" s="49">
        <f>ACTUAL_RATE-PLANNED_RATE</f>
        <v>-0.28971962616822428</v>
      </c>
      <c r="D24" s="300" t="s">
        <v>1460</v>
      </c>
      <c r="E24" s="300"/>
      <c r="F24" s="300"/>
      <c r="G24" s="30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11.69921875" style="136" bestFit="1" customWidth="1"/>
    <col min="3" max="3" width="32.3984375" style="136" bestFit="1" customWidth="1"/>
    <col min="4" max="5" width="10.59765625" style="136" bestFit="1" customWidth="1"/>
    <col min="6" max="6" width="9" style="220" bestFit="1" customWidth="1"/>
    <col min="7" max="9" width="9.19921875" style="92" bestFit="1" customWidth="1"/>
    <col min="10" max="11" width="8.3984375" style="92" bestFit="1" customWidth="1"/>
    <col min="12" max="12" width="8.69921875" style="92" bestFit="1" customWidth="1"/>
    <col min="13" max="16384" width="9.09765625" style="136"/>
  </cols>
  <sheetData>
    <row r="1" spans="1:12" ht="36.9" customHeight="1">
      <c r="A1" s="62" t="s">
        <v>1566</v>
      </c>
    </row>
    <row r="2" spans="1:12">
      <c r="A2" s="136" t="s">
        <v>601</v>
      </c>
    </row>
    <row r="3" spans="1:12">
      <c r="A3" s="136" t="s">
        <v>604</v>
      </c>
    </row>
    <row r="6" spans="1:12" ht="43.2">
      <c r="A6" s="63" t="s">
        <v>1279</v>
      </c>
      <c r="B6" s="91" t="s">
        <v>341</v>
      </c>
      <c r="C6" s="91" t="s">
        <v>1280</v>
      </c>
      <c r="D6" s="91" t="s">
        <v>553</v>
      </c>
      <c r="E6" s="91" t="s">
        <v>554</v>
      </c>
      <c r="F6" s="221" t="s">
        <v>1567</v>
      </c>
      <c r="G6" s="222" t="s">
        <v>1568</v>
      </c>
      <c r="H6" s="222" t="s">
        <v>1569</v>
      </c>
      <c r="I6" s="222" t="s">
        <v>1570</v>
      </c>
      <c r="J6" s="222" t="s">
        <v>767</v>
      </c>
      <c r="K6" s="222" t="s">
        <v>597</v>
      </c>
      <c r="L6" s="223" t="s">
        <v>911</v>
      </c>
    </row>
    <row r="7" spans="1:12" ht="15" outlineLevel="2">
      <c r="A7" s="224" t="s">
        <v>1467</v>
      </c>
      <c r="B7" s="225" t="s">
        <v>1487</v>
      </c>
      <c r="C7" s="224" t="s">
        <v>1488</v>
      </c>
      <c r="D7" s="226">
        <v>44358</v>
      </c>
      <c r="E7" s="226">
        <v>44358</v>
      </c>
      <c r="F7" s="220">
        <v>1</v>
      </c>
      <c r="G7" s="92">
        <v>1</v>
      </c>
      <c r="H7" s="92">
        <v>0</v>
      </c>
      <c r="I7" s="92">
        <v>0</v>
      </c>
      <c r="J7" s="220">
        <v>0</v>
      </c>
      <c r="K7" s="220">
        <v>0</v>
      </c>
      <c r="L7" s="220">
        <f t="shared" ref="L7:L51" si="0">K7-J7</f>
        <v>0</v>
      </c>
    </row>
    <row r="8" spans="1:12" ht="15" outlineLevel="2">
      <c r="A8" s="224" t="s">
        <v>1467</v>
      </c>
      <c r="B8" s="225" t="s">
        <v>1494</v>
      </c>
      <c r="C8" s="224" t="s">
        <v>1495</v>
      </c>
      <c r="D8" s="226">
        <v>44487</v>
      </c>
      <c r="E8" s="226">
        <v>44487</v>
      </c>
      <c r="F8" s="220">
        <v>0</v>
      </c>
      <c r="G8" s="92">
        <v>0</v>
      </c>
      <c r="H8" s="92">
        <v>0</v>
      </c>
      <c r="I8" s="92">
        <v>0</v>
      </c>
      <c r="J8" s="220">
        <v>0</v>
      </c>
      <c r="K8" s="220">
        <v>0</v>
      </c>
      <c r="L8" s="220">
        <f t="shared" si="0"/>
        <v>0</v>
      </c>
    </row>
    <row r="9" spans="1:12" ht="15" outlineLevel="2">
      <c r="A9" s="224" t="s">
        <v>1467</v>
      </c>
      <c r="B9" s="225" t="s">
        <v>1496</v>
      </c>
      <c r="C9" s="224" t="s">
        <v>1497</v>
      </c>
      <c r="D9" s="226">
        <v>44340</v>
      </c>
      <c r="E9" s="226">
        <v>44358</v>
      </c>
      <c r="F9" s="220">
        <v>1</v>
      </c>
      <c r="G9" s="92">
        <v>15</v>
      </c>
      <c r="H9" s="92">
        <v>7</v>
      </c>
      <c r="I9" s="92">
        <v>15</v>
      </c>
      <c r="J9" s="220">
        <v>0.46666666666666667</v>
      </c>
      <c r="K9" s="220">
        <v>1</v>
      </c>
      <c r="L9" s="220">
        <f t="shared" si="0"/>
        <v>0.53333333333333333</v>
      </c>
    </row>
    <row r="10" spans="1:12" ht="15" outlineLevel="2">
      <c r="A10" s="224" t="s">
        <v>1467</v>
      </c>
      <c r="B10" s="225" t="s">
        <v>1499</v>
      </c>
      <c r="C10" s="224" t="s">
        <v>1500</v>
      </c>
      <c r="D10" s="226">
        <v>44346</v>
      </c>
      <c r="E10" s="226">
        <v>44357</v>
      </c>
      <c r="F10" s="220">
        <v>1</v>
      </c>
      <c r="G10" s="92">
        <v>9</v>
      </c>
      <c r="H10" s="92">
        <v>2</v>
      </c>
      <c r="I10" s="92">
        <v>1.8</v>
      </c>
      <c r="J10" s="220">
        <v>0.22222222222222221</v>
      </c>
      <c r="K10" s="220">
        <v>0.2</v>
      </c>
      <c r="L10" s="235">
        <f t="shared" si="0"/>
        <v>-2.2222222222222199E-2</v>
      </c>
    </row>
    <row r="11" spans="1:12" ht="15" outlineLevel="2">
      <c r="A11" s="224" t="s">
        <v>1467</v>
      </c>
      <c r="B11" s="225" t="s">
        <v>1503</v>
      </c>
      <c r="C11" s="224" t="s">
        <v>1504</v>
      </c>
      <c r="D11" s="226">
        <v>44360</v>
      </c>
      <c r="E11" s="226">
        <v>44378</v>
      </c>
      <c r="F11" s="220">
        <v>1</v>
      </c>
      <c r="G11" s="92">
        <v>14</v>
      </c>
      <c r="H11" s="92">
        <v>0</v>
      </c>
      <c r="I11" s="92">
        <v>0</v>
      </c>
      <c r="J11" s="220">
        <v>0</v>
      </c>
      <c r="K11" s="220">
        <v>0</v>
      </c>
      <c r="L11" s="220">
        <f t="shared" si="0"/>
        <v>0</v>
      </c>
    </row>
    <row r="12" spans="1:12" ht="15" outlineLevel="2">
      <c r="A12" s="224" t="s">
        <v>1467</v>
      </c>
      <c r="B12" s="225" t="s">
        <v>1507</v>
      </c>
      <c r="C12" s="224" t="s">
        <v>1508</v>
      </c>
      <c r="D12" s="226">
        <v>44367</v>
      </c>
      <c r="E12" s="226">
        <v>44378</v>
      </c>
      <c r="F12" s="220">
        <v>1</v>
      </c>
      <c r="G12" s="92">
        <v>9</v>
      </c>
      <c r="H12" s="92">
        <v>0</v>
      </c>
      <c r="I12" s="92">
        <v>0</v>
      </c>
      <c r="J12" s="220">
        <v>0</v>
      </c>
      <c r="K12" s="220">
        <v>0</v>
      </c>
      <c r="L12" s="220">
        <f t="shared" si="0"/>
        <v>0</v>
      </c>
    </row>
    <row r="13" spans="1:12" ht="15" outlineLevel="2">
      <c r="A13" s="224" t="s">
        <v>1467</v>
      </c>
      <c r="B13" s="225" t="s">
        <v>1509</v>
      </c>
      <c r="C13" s="224" t="s">
        <v>1510</v>
      </c>
      <c r="D13" s="226">
        <v>44374</v>
      </c>
      <c r="E13" s="226">
        <v>44385</v>
      </c>
      <c r="F13" s="220">
        <v>1</v>
      </c>
      <c r="G13" s="92">
        <v>9</v>
      </c>
      <c r="H13" s="92">
        <v>0</v>
      </c>
      <c r="I13" s="92">
        <v>0</v>
      </c>
      <c r="J13" s="220">
        <v>0</v>
      </c>
      <c r="K13" s="220">
        <v>0</v>
      </c>
      <c r="L13" s="220">
        <f t="shared" si="0"/>
        <v>0</v>
      </c>
    </row>
    <row r="14" spans="1:12" ht="15" outlineLevel="2">
      <c r="A14" s="224" t="s">
        <v>1467</v>
      </c>
      <c r="B14" s="225" t="s">
        <v>1511</v>
      </c>
      <c r="C14" s="224" t="s">
        <v>1512</v>
      </c>
      <c r="D14" s="226">
        <v>44374</v>
      </c>
      <c r="E14" s="226">
        <v>44392</v>
      </c>
      <c r="F14" s="220">
        <v>1</v>
      </c>
      <c r="G14" s="92">
        <v>14</v>
      </c>
      <c r="H14" s="92">
        <v>0</v>
      </c>
      <c r="I14" s="92">
        <v>0</v>
      </c>
      <c r="J14" s="220">
        <v>0</v>
      </c>
      <c r="K14" s="220">
        <v>0</v>
      </c>
      <c r="L14" s="220">
        <f t="shared" si="0"/>
        <v>0</v>
      </c>
    </row>
    <row r="15" spans="1:12" ht="15" outlineLevel="2">
      <c r="A15" s="224" t="s">
        <v>1467</v>
      </c>
      <c r="B15" s="225" t="s">
        <v>1513</v>
      </c>
      <c r="C15" s="224" t="s">
        <v>1514</v>
      </c>
      <c r="D15" s="226">
        <v>44395</v>
      </c>
      <c r="E15" s="226">
        <v>44399</v>
      </c>
      <c r="F15" s="220">
        <v>1</v>
      </c>
      <c r="G15" s="92">
        <v>4</v>
      </c>
      <c r="H15" s="92">
        <v>0</v>
      </c>
      <c r="I15" s="92">
        <v>0</v>
      </c>
      <c r="J15" s="220">
        <v>0</v>
      </c>
      <c r="K15" s="220">
        <v>0</v>
      </c>
      <c r="L15" s="220">
        <f t="shared" si="0"/>
        <v>0</v>
      </c>
    </row>
    <row r="16" spans="1:12" ht="15" outlineLevel="2">
      <c r="A16" s="224" t="s">
        <v>1467</v>
      </c>
      <c r="B16" s="225" t="s">
        <v>1517</v>
      </c>
      <c r="C16" s="224" t="s">
        <v>1518</v>
      </c>
      <c r="D16" s="226">
        <v>44395</v>
      </c>
      <c r="E16" s="226">
        <v>44399</v>
      </c>
      <c r="F16" s="220">
        <v>1</v>
      </c>
      <c r="G16" s="92">
        <v>4</v>
      </c>
      <c r="H16" s="92">
        <v>0</v>
      </c>
      <c r="I16" s="92">
        <v>0</v>
      </c>
      <c r="J16" s="220">
        <v>0</v>
      </c>
      <c r="K16" s="220">
        <v>0</v>
      </c>
      <c r="L16" s="220">
        <f t="shared" si="0"/>
        <v>0</v>
      </c>
    </row>
    <row r="17" spans="1:12" ht="15" outlineLevel="2">
      <c r="A17" s="224" t="s">
        <v>1467</v>
      </c>
      <c r="B17" s="225" t="s">
        <v>1522</v>
      </c>
      <c r="C17" s="224" t="s">
        <v>1523</v>
      </c>
      <c r="D17" s="226">
        <v>44395</v>
      </c>
      <c r="E17" s="226">
        <v>44399</v>
      </c>
      <c r="F17" s="220">
        <v>1</v>
      </c>
      <c r="G17" s="92">
        <v>4</v>
      </c>
      <c r="H17" s="92">
        <v>0</v>
      </c>
      <c r="I17" s="92">
        <v>0</v>
      </c>
      <c r="J17" s="220">
        <v>0</v>
      </c>
      <c r="K17" s="220">
        <v>0</v>
      </c>
      <c r="L17" s="220">
        <f t="shared" si="0"/>
        <v>0</v>
      </c>
    </row>
    <row r="18" spans="1:12" ht="15" outlineLevel="2">
      <c r="A18" s="224" t="s">
        <v>1467</v>
      </c>
      <c r="B18" s="225" t="s">
        <v>1524</v>
      </c>
      <c r="C18" s="224" t="s">
        <v>1525</v>
      </c>
      <c r="D18" s="226">
        <v>44402</v>
      </c>
      <c r="E18" s="226">
        <v>44406</v>
      </c>
      <c r="F18" s="220">
        <v>1</v>
      </c>
      <c r="G18" s="92">
        <v>4</v>
      </c>
      <c r="H18" s="92">
        <v>0</v>
      </c>
      <c r="I18" s="92">
        <v>0</v>
      </c>
      <c r="J18" s="220">
        <v>0</v>
      </c>
      <c r="K18" s="220">
        <v>0</v>
      </c>
      <c r="L18" s="220">
        <f t="shared" si="0"/>
        <v>0</v>
      </c>
    </row>
    <row r="19" spans="1:12" ht="15" outlineLevel="2">
      <c r="A19" s="224" t="s">
        <v>1467</v>
      </c>
      <c r="B19" s="225" t="s">
        <v>1526</v>
      </c>
      <c r="C19" s="224" t="s">
        <v>1527</v>
      </c>
      <c r="D19" s="226">
        <v>44402</v>
      </c>
      <c r="E19" s="226">
        <v>44413</v>
      </c>
      <c r="F19" s="220">
        <v>1</v>
      </c>
      <c r="G19" s="92">
        <v>9</v>
      </c>
      <c r="H19" s="92">
        <v>0</v>
      </c>
      <c r="I19" s="92">
        <v>0</v>
      </c>
      <c r="J19" s="220">
        <v>0</v>
      </c>
      <c r="K19" s="220">
        <v>0</v>
      </c>
      <c r="L19" s="220">
        <f t="shared" si="0"/>
        <v>0</v>
      </c>
    </row>
    <row r="20" spans="1:12" ht="15" outlineLevel="2">
      <c r="A20" s="224" t="s">
        <v>1467</v>
      </c>
      <c r="B20" s="225" t="s">
        <v>1528</v>
      </c>
      <c r="C20" s="224" t="s">
        <v>1529</v>
      </c>
      <c r="D20" s="226">
        <v>44395</v>
      </c>
      <c r="E20" s="226">
        <v>44454</v>
      </c>
      <c r="F20" s="220">
        <v>1</v>
      </c>
      <c r="G20" s="92">
        <v>43</v>
      </c>
      <c r="H20" s="92">
        <v>0</v>
      </c>
      <c r="I20" s="92">
        <v>0</v>
      </c>
      <c r="J20" s="220">
        <v>0</v>
      </c>
      <c r="K20" s="220">
        <v>0</v>
      </c>
      <c r="L20" s="220">
        <f t="shared" si="0"/>
        <v>0</v>
      </c>
    </row>
    <row r="21" spans="1:12" ht="15" outlineLevel="2">
      <c r="A21" s="224" t="s">
        <v>1467</v>
      </c>
      <c r="B21" s="225" t="s">
        <v>1530</v>
      </c>
      <c r="C21" s="224" t="s">
        <v>1531</v>
      </c>
      <c r="D21" s="226">
        <v>44395</v>
      </c>
      <c r="E21" s="226">
        <v>44454</v>
      </c>
      <c r="F21" s="220">
        <v>1</v>
      </c>
      <c r="G21" s="92">
        <v>43</v>
      </c>
      <c r="H21" s="92">
        <v>0</v>
      </c>
      <c r="I21" s="92">
        <v>0</v>
      </c>
      <c r="J21" s="220">
        <v>0</v>
      </c>
      <c r="K21" s="220">
        <v>0</v>
      </c>
      <c r="L21" s="220">
        <f t="shared" si="0"/>
        <v>0</v>
      </c>
    </row>
    <row r="22" spans="1:12" ht="15" outlineLevel="2">
      <c r="A22" s="224" t="s">
        <v>1467</v>
      </c>
      <c r="B22" s="225" t="s">
        <v>1532</v>
      </c>
      <c r="C22" s="224" t="s">
        <v>1533</v>
      </c>
      <c r="D22" s="226">
        <v>44409</v>
      </c>
      <c r="E22" s="226">
        <v>44454</v>
      </c>
      <c r="F22" s="220">
        <v>1</v>
      </c>
      <c r="G22" s="92">
        <v>33</v>
      </c>
      <c r="H22" s="92">
        <v>0</v>
      </c>
      <c r="I22" s="92">
        <v>0</v>
      </c>
      <c r="J22" s="220">
        <v>0</v>
      </c>
      <c r="K22" s="220">
        <v>0</v>
      </c>
      <c r="L22" s="220">
        <f t="shared" si="0"/>
        <v>0</v>
      </c>
    </row>
    <row r="23" spans="1:12" ht="15" outlineLevel="2">
      <c r="A23" s="224" t="s">
        <v>1467</v>
      </c>
      <c r="B23" s="225" t="s">
        <v>1535</v>
      </c>
      <c r="C23" s="224" t="s">
        <v>1536</v>
      </c>
      <c r="D23" s="226">
        <v>44437</v>
      </c>
      <c r="E23" s="226">
        <v>44455</v>
      </c>
      <c r="F23" s="220">
        <v>1</v>
      </c>
      <c r="G23" s="92">
        <v>14</v>
      </c>
      <c r="H23" s="92">
        <v>0</v>
      </c>
      <c r="I23" s="92">
        <v>0</v>
      </c>
      <c r="J23" s="220">
        <v>0</v>
      </c>
      <c r="K23" s="220">
        <v>0</v>
      </c>
      <c r="L23" s="220">
        <f t="shared" si="0"/>
        <v>0</v>
      </c>
    </row>
    <row r="24" spans="1:12" ht="15" outlineLevel="2">
      <c r="A24" s="224" t="s">
        <v>1467</v>
      </c>
      <c r="B24" s="225" t="s">
        <v>1537</v>
      </c>
      <c r="C24" s="224" t="s">
        <v>1538</v>
      </c>
      <c r="D24" s="226">
        <v>44458</v>
      </c>
      <c r="E24" s="226">
        <v>44462</v>
      </c>
      <c r="F24" s="220">
        <v>1</v>
      </c>
      <c r="G24" s="92">
        <v>1</v>
      </c>
      <c r="H24" s="92">
        <v>0</v>
      </c>
      <c r="I24" s="92">
        <v>0</v>
      </c>
      <c r="J24" s="220">
        <v>0</v>
      </c>
      <c r="K24" s="220">
        <v>0</v>
      </c>
      <c r="L24" s="220">
        <f t="shared" si="0"/>
        <v>0</v>
      </c>
    </row>
    <row r="25" spans="1:12" ht="15" outlineLevel="2">
      <c r="A25" s="224" t="s">
        <v>1467</v>
      </c>
      <c r="B25" s="225" t="s">
        <v>1541</v>
      </c>
      <c r="C25" s="224" t="s">
        <v>1542</v>
      </c>
      <c r="D25" s="226">
        <v>44458</v>
      </c>
      <c r="E25" s="226">
        <v>44460</v>
      </c>
      <c r="F25" s="220">
        <v>1</v>
      </c>
      <c r="G25" s="92">
        <v>0</v>
      </c>
      <c r="H25" s="92">
        <v>0</v>
      </c>
      <c r="I25" s="92">
        <v>0</v>
      </c>
      <c r="J25" s="220">
        <v>0</v>
      </c>
      <c r="K25" s="220">
        <v>0</v>
      </c>
      <c r="L25" s="220">
        <f t="shared" si="0"/>
        <v>0</v>
      </c>
    </row>
    <row r="26" spans="1:12" ht="15" outlineLevel="2">
      <c r="A26" s="224" t="s">
        <v>1467</v>
      </c>
      <c r="B26" s="225" t="s">
        <v>1544</v>
      </c>
      <c r="C26" s="224" t="s">
        <v>1545</v>
      </c>
      <c r="D26" s="226">
        <v>44462</v>
      </c>
      <c r="E26" s="226">
        <v>44464</v>
      </c>
      <c r="F26" s="220">
        <v>1</v>
      </c>
      <c r="G26" s="92">
        <v>2</v>
      </c>
      <c r="H26" s="92">
        <v>0</v>
      </c>
      <c r="I26" s="92">
        <v>0</v>
      </c>
      <c r="J26" s="220">
        <v>0</v>
      </c>
      <c r="K26" s="220">
        <v>0</v>
      </c>
      <c r="L26" s="220">
        <f t="shared" si="0"/>
        <v>0</v>
      </c>
    </row>
    <row r="27" spans="1:12" ht="15" outlineLevel="2">
      <c r="A27" s="224" t="s">
        <v>1467</v>
      </c>
      <c r="B27" s="225" t="s">
        <v>1546</v>
      </c>
      <c r="C27" s="224" t="s">
        <v>1547</v>
      </c>
      <c r="D27" s="226">
        <v>44462</v>
      </c>
      <c r="E27" s="226">
        <v>44464</v>
      </c>
      <c r="F27" s="220">
        <v>1</v>
      </c>
      <c r="G27" s="92">
        <v>2</v>
      </c>
      <c r="H27" s="92">
        <v>0</v>
      </c>
      <c r="I27" s="92">
        <v>0</v>
      </c>
      <c r="J27" s="220">
        <v>0</v>
      </c>
      <c r="K27" s="220">
        <v>0</v>
      </c>
      <c r="L27" s="220">
        <f t="shared" si="0"/>
        <v>0</v>
      </c>
    </row>
    <row r="28" spans="1:12" ht="15" outlineLevel="2">
      <c r="A28" s="224" t="s">
        <v>1467</v>
      </c>
      <c r="B28" s="225" t="s">
        <v>1548</v>
      </c>
      <c r="C28" s="224" t="s">
        <v>1549</v>
      </c>
      <c r="D28" s="226">
        <v>44462</v>
      </c>
      <c r="E28" s="226">
        <v>44464</v>
      </c>
      <c r="F28" s="220">
        <v>1</v>
      </c>
      <c r="G28" s="92">
        <v>2</v>
      </c>
      <c r="H28" s="92">
        <v>0</v>
      </c>
      <c r="I28" s="92">
        <v>0</v>
      </c>
      <c r="J28" s="220">
        <v>0</v>
      </c>
      <c r="K28" s="220">
        <v>0</v>
      </c>
      <c r="L28" s="220">
        <f t="shared" si="0"/>
        <v>0</v>
      </c>
    </row>
    <row r="29" spans="1:12" ht="15" outlineLevel="2">
      <c r="A29" s="224" t="s">
        <v>1467</v>
      </c>
      <c r="B29" s="225" t="s">
        <v>1550</v>
      </c>
      <c r="C29" s="224" t="s">
        <v>1551</v>
      </c>
      <c r="D29" s="226">
        <v>44465</v>
      </c>
      <c r="E29" s="226">
        <v>44465</v>
      </c>
      <c r="F29" s="220">
        <v>0</v>
      </c>
      <c r="G29" s="92">
        <v>0</v>
      </c>
      <c r="H29" s="92">
        <v>0</v>
      </c>
      <c r="I29" s="92">
        <v>0</v>
      </c>
      <c r="J29" s="220">
        <v>0</v>
      </c>
      <c r="K29" s="220">
        <v>0</v>
      </c>
      <c r="L29" s="220">
        <f t="shared" si="0"/>
        <v>0</v>
      </c>
    </row>
    <row r="30" spans="1:12" ht="15" outlineLevel="1">
      <c r="A30" s="227" t="s">
        <v>1571</v>
      </c>
      <c r="B30" s="228"/>
      <c r="C30" s="229"/>
      <c r="D30" s="230"/>
      <c r="E30" s="230"/>
      <c r="F30" s="231"/>
      <c r="G30" s="232">
        <f>SUBTOTAL(9,G7:G29)</f>
        <v>236</v>
      </c>
      <c r="H30" s="232">
        <f>SUBTOTAL(9,H7:H29)</f>
        <v>9</v>
      </c>
      <c r="I30" s="232">
        <f>SUBTOTAL(9,I7:I29)</f>
        <v>16.8</v>
      </c>
      <c r="J30" s="231">
        <f>H30/G30</f>
        <v>3.8135593220338986E-2</v>
      </c>
      <c r="K30" s="231">
        <f>I30/G30</f>
        <v>7.1186440677966104E-2</v>
      </c>
      <c r="L30" s="231">
        <f t="shared" si="0"/>
        <v>3.3050847457627118E-2</v>
      </c>
    </row>
    <row r="31" spans="1:12" ht="15" outlineLevel="2">
      <c r="A31" s="224" t="s">
        <v>1332</v>
      </c>
      <c r="B31" s="225" t="s">
        <v>1094</v>
      </c>
      <c r="C31" s="224" t="s">
        <v>1478</v>
      </c>
      <c r="D31" s="226">
        <v>44336</v>
      </c>
      <c r="E31" s="226">
        <v>44337</v>
      </c>
      <c r="F31" s="220">
        <v>1</v>
      </c>
      <c r="G31" s="92">
        <v>2</v>
      </c>
      <c r="H31" s="92">
        <v>2</v>
      </c>
      <c r="I31" s="92">
        <v>2</v>
      </c>
      <c r="J31" s="220">
        <v>1</v>
      </c>
      <c r="K31" s="220">
        <v>1</v>
      </c>
      <c r="L31" s="220">
        <f t="shared" si="0"/>
        <v>0</v>
      </c>
    </row>
    <row r="32" spans="1:12" ht="15" outlineLevel="2">
      <c r="A32" s="224" t="s">
        <v>1332</v>
      </c>
      <c r="B32" s="225" t="s">
        <v>1099</v>
      </c>
      <c r="C32" s="224" t="s">
        <v>1490</v>
      </c>
      <c r="D32" s="226">
        <v>44462</v>
      </c>
      <c r="E32" s="226">
        <v>44466</v>
      </c>
      <c r="F32" s="220">
        <v>1</v>
      </c>
      <c r="G32" s="92">
        <v>3</v>
      </c>
      <c r="H32" s="92">
        <v>0</v>
      </c>
      <c r="I32" s="92">
        <v>0</v>
      </c>
      <c r="J32" s="220">
        <v>0</v>
      </c>
      <c r="K32" s="220">
        <v>0</v>
      </c>
      <c r="L32" s="220">
        <f t="shared" si="0"/>
        <v>0</v>
      </c>
    </row>
    <row r="33" spans="1:12" ht="15" outlineLevel="1">
      <c r="A33" s="227" t="s">
        <v>1572</v>
      </c>
      <c r="B33" s="228"/>
      <c r="C33" s="229"/>
      <c r="D33" s="230"/>
      <c r="E33" s="230"/>
      <c r="F33" s="231"/>
      <c r="G33" s="232">
        <f>SUBTOTAL(9,G31:G32)</f>
        <v>5</v>
      </c>
      <c r="H33" s="232">
        <f>SUBTOTAL(9,H31:H32)</f>
        <v>2</v>
      </c>
      <c r="I33" s="232">
        <f>SUBTOTAL(9,I31:I32)</f>
        <v>2</v>
      </c>
      <c r="J33" s="231">
        <f>H33/G33</f>
        <v>0.4</v>
      </c>
      <c r="K33" s="231">
        <f>I33/G33</f>
        <v>0.4</v>
      </c>
      <c r="L33" s="231">
        <f t="shared" si="0"/>
        <v>0</v>
      </c>
    </row>
    <row r="34" spans="1:12" ht="15" outlineLevel="2">
      <c r="A34" s="224" t="s">
        <v>1365</v>
      </c>
      <c r="B34" s="225" t="s">
        <v>1492</v>
      </c>
      <c r="C34" s="224" t="s">
        <v>1493</v>
      </c>
      <c r="D34" s="226">
        <v>44487</v>
      </c>
      <c r="E34" s="226">
        <v>44487</v>
      </c>
      <c r="F34" s="220">
        <v>1</v>
      </c>
      <c r="G34" s="92">
        <v>1</v>
      </c>
      <c r="H34" s="92">
        <v>0</v>
      </c>
      <c r="I34" s="92">
        <v>0</v>
      </c>
      <c r="J34" s="220">
        <v>0</v>
      </c>
      <c r="K34" s="220">
        <v>0</v>
      </c>
      <c r="L34" s="220">
        <f t="shared" si="0"/>
        <v>0</v>
      </c>
    </row>
    <row r="35" spans="1:12" ht="15" outlineLevel="1">
      <c r="A35" s="227" t="s">
        <v>1573</v>
      </c>
      <c r="B35" s="228"/>
      <c r="C35" s="229"/>
      <c r="D35" s="230"/>
      <c r="E35" s="230"/>
      <c r="F35" s="231"/>
      <c r="G35" s="232">
        <f>SUBTOTAL(9,G34:G34)</f>
        <v>1</v>
      </c>
      <c r="H35" s="232">
        <f>SUBTOTAL(9,H34:H34)</f>
        <v>0</v>
      </c>
      <c r="I35" s="232">
        <f>SUBTOTAL(9,I34:I34)</f>
        <v>0</v>
      </c>
      <c r="J35" s="231">
        <f>H35/G35</f>
        <v>0</v>
      </c>
      <c r="K35" s="231">
        <f>I35/G35</f>
        <v>0</v>
      </c>
      <c r="L35" s="231">
        <f t="shared" si="0"/>
        <v>0</v>
      </c>
    </row>
    <row r="36" spans="1:12" ht="15" outlineLevel="2">
      <c r="A36" s="224" t="s">
        <v>1333</v>
      </c>
      <c r="B36" s="225" t="s">
        <v>1501</v>
      </c>
      <c r="C36" s="224" t="s">
        <v>1502</v>
      </c>
      <c r="D36" s="226">
        <v>44346</v>
      </c>
      <c r="E36" s="226">
        <v>44357</v>
      </c>
      <c r="F36" s="220">
        <v>1.2</v>
      </c>
      <c r="G36" s="92">
        <v>10.8</v>
      </c>
      <c r="H36" s="92">
        <v>2.4</v>
      </c>
      <c r="I36" s="92">
        <v>1.62</v>
      </c>
      <c r="J36" s="220">
        <v>0.22222222222222221</v>
      </c>
      <c r="K36" s="220">
        <v>0.15</v>
      </c>
      <c r="L36" s="235">
        <f t="shared" si="0"/>
        <v>-7.2222222222222215E-2</v>
      </c>
    </row>
    <row r="37" spans="1:12" ht="15" outlineLevel="1">
      <c r="A37" s="227" t="s">
        <v>1574</v>
      </c>
      <c r="B37" s="228"/>
      <c r="C37" s="229"/>
      <c r="D37" s="230"/>
      <c r="E37" s="230"/>
      <c r="F37" s="231"/>
      <c r="G37" s="232">
        <f>SUBTOTAL(9,G36:G36)</f>
        <v>10.8</v>
      </c>
      <c r="H37" s="232">
        <f>SUBTOTAL(9,H36:H36)</f>
        <v>2.4</v>
      </c>
      <c r="I37" s="232">
        <f>SUBTOTAL(9,I36:I36)</f>
        <v>1.62</v>
      </c>
      <c r="J37" s="231">
        <f>H37/G37</f>
        <v>0.22222222222222221</v>
      </c>
      <c r="K37" s="231">
        <f>I37/G37</f>
        <v>0.15</v>
      </c>
      <c r="L37" s="236">
        <f t="shared" si="0"/>
        <v>-7.2222222222222215E-2</v>
      </c>
    </row>
    <row r="38" spans="1:12" ht="15" outlineLevel="2">
      <c r="A38" s="224" t="s">
        <v>1559</v>
      </c>
      <c r="B38" s="225" t="s">
        <v>1097</v>
      </c>
      <c r="C38" s="224" t="s">
        <v>1483</v>
      </c>
      <c r="D38" s="226">
        <v>44361</v>
      </c>
      <c r="E38" s="226">
        <v>44365</v>
      </c>
      <c r="F38" s="220">
        <v>0.2</v>
      </c>
      <c r="G38" s="92">
        <v>1</v>
      </c>
      <c r="H38" s="92">
        <v>0</v>
      </c>
      <c r="I38" s="92">
        <v>0.5</v>
      </c>
      <c r="J38" s="220">
        <v>0</v>
      </c>
      <c r="K38" s="220">
        <v>0.5</v>
      </c>
      <c r="L38" s="220">
        <f t="shared" si="0"/>
        <v>0.5</v>
      </c>
    </row>
    <row r="39" spans="1:12" ht="15" outlineLevel="2">
      <c r="A39" s="224" t="s">
        <v>1559</v>
      </c>
      <c r="B39" s="225" t="s">
        <v>1118</v>
      </c>
      <c r="C39" s="224" t="s">
        <v>1484</v>
      </c>
      <c r="D39" s="226">
        <v>44393</v>
      </c>
      <c r="E39" s="226">
        <v>44393</v>
      </c>
      <c r="F39" s="220">
        <v>0.2</v>
      </c>
      <c r="G39" s="92">
        <v>0.2</v>
      </c>
      <c r="H39" s="92">
        <v>0</v>
      </c>
      <c r="I39" s="92">
        <v>0</v>
      </c>
      <c r="J39" s="220">
        <v>0</v>
      </c>
      <c r="K39" s="220">
        <v>0</v>
      </c>
      <c r="L39" s="220">
        <f t="shared" si="0"/>
        <v>0</v>
      </c>
    </row>
    <row r="40" spans="1:12" ht="15" outlineLevel="2">
      <c r="A40" s="224" t="s">
        <v>1559</v>
      </c>
      <c r="B40" s="225" t="s">
        <v>1485</v>
      </c>
      <c r="C40" s="224" t="s">
        <v>1486</v>
      </c>
      <c r="D40" s="226">
        <v>44429</v>
      </c>
      <c r="E40" s="226">
        <v>44454</v>
      </c>
      <c r="F40" s="220">
        <v>0.2</v>
      </c>
      <c r="G40" s="92">
        <v>3.6</v>
      </c>
      <c r="H40" s="92">
        <v>0</v>
      </c>
      <c r="I40" s="92">
        <v>0</v>
      </c>
      <c r="J40" s="220">
        <v>0</v>
      </c>
      <c r="K40" s="220">
        <v>0</v>
      </c>
      <c r="L40" s="220">
        <f t="shared" si="0"/>
        <v>0</v>
      </c>
    </row>
    <row r="41" spans="1:12" ht="15" outlineLevel="1">
      <c r="A41" s="227" t="s">
        <v>1575</v>
      </c>
      <c r="B41" s="228"/>
      <c r="C41" s="229"/>
      <c r="D41" s="230"/>
      <c r="E41" s="230"/>
      <c r="F41" s="231"/>
      <c r="G41" s="232">
        <f>SUBTOTAL(9,G38:G40)</f>
        <v>4.8</v>
      </c>
      <c r="H41" s="232">
        <f>SUBTOTAL(9,H38:H40)</f>
        <v>0</v>
      </c>
      <c r="I41" s="232">
        <f>SUBTOTAL(9,I38:I40)</f>
        <v>0.5</v>
      </c>
      <c r="J41" s="231">
        <f>H41/G41</f>
        <v>0</v>
      </c>
      <c r="K41" s="231">
        <f>I41/G41</f>
        <v>0.10416666666666667</v>
      </c>
      <c r="L41" s="231">
        <f t="shared" si="0"/>
        <v>0.10416666666666667</v>
      </c>
    </row>
    <row r="42" spans="1:12" ht="15" outlineLevel="2">
      <c r="A42" s="224" t="s">
        <v>1366</v>
      </c>
      <c r="B42" s="225" t="s">
        <v>1492</v>
      </c>
      <c r="C42" s="224" t="s">
        <v>1493</v>
      </c>
      <c r="D42" s="226">
        <v>44487</v>
      </c>
      <c r="E42" s="226">
        <v>44487</v>
      </c>
      <c r="F42" s="220">
        <v>1</v>
      </c>
      <c r="G42" s="92">
        <v>1</v>
      </c>
      <c r="H42" s="92">
        <v>0</v>
      </c>
      <c r="I42" s="92">
        <v>0</v>
      </c>
      <c r="J42" s="220">
        <v>0</v>
      </c>
      <c r="K42" s="220">
        <v>0</v>
      </c>
      <c r="L42" s="220">
        <f t="shared" si="0"/>
        <v>0</v>
      </c>
    </row>
    <row r="43" spans="1:12" ht="15" outlineLevel="1">
      <c r="A43" s="227" t="s">
        <v>1576</v>
      </c>
      <c r="B43" s="228"/>
      <c r="C43" s="229"/>
      <c r="D43" s="230"/>
      <c r="E43" s="230"/>
      <c r="F43" s="231"/>
      <c r="G43" s="232">
        <f>SUBTOTAL(9,G42:G42)</f>
        <v>1</v>
      </c>
      <c r="H43" s="232">
        <f>SUBTOTAL(9,H42:H42)</f>
        <v>0</v>
      </c>
      <c r="I43" s="232">
        <f>SUBTOTAL(9,I42:I42)</f>
        <v>0</v>
      </c>
      <c r="J43" s="231">
        <f>H43/G43</f>
        <v>0</v>
      </c>
      <c r="K43" s="231">
        <f>I43/G43</f>
        <v>0</v>
      </c>
      <c r="L43" s="231">
        <f t="shared" si="0"/>
        <v>0</v>
      </c>
    </row>
    <row r="44" spans="1:12" ht="15" outlineLevel="2">
      <c r="A44" s="224" t="s">
        <v>1330</v>
      </c>
      <c r="B44" s="225" t="s">
        <v>1094</v>
      </c>
      <c r="C44" s="224" t="s">
        <v>1478</v>
      </c>
      <c r="D44" s="226">
        <v>44336</v>
      </c>
      <c r="E44" s="226">
        <v>44337</v>
      </c>
      <c r="F44" s="220">
        <v>1</v>
      </c>
      <c r="G44" s="92">
        <v>2</v>
      </c>
      <c r="H44" s="92">
        <v>2</v>
      </c>
      <c r="I44" s="92">
        <v>2</v>
      </c>
      <c r="J44" s="220">
        <v>1</v>
      </c>
      <c r="K44" s="220">
        <v>1</v>
      </c>
      <c r="L44" s="220">
        <f t="shared" si="0"/>
        <v>0</v>
      </c>
    </row>
    <row r="45" spans="1:12" ht="15" outlineLevel="2">
      <c r="A45" s="224" t="s">
        <v>1330</v>
      </c>
      <c r="B45" s="225" t="s">
        <v>1479</v>
      </c>
      <c r="C45" s="224" t="s">
        <v>1480</v>
      </c>
      <c r="D45" s="226">
        <v>44340</v>
      </c>
      <c r="E45" s="226">
        <v>44346</v>
      </c>
      <c r="F45" s="220">
        <v>1</v>
      </c>
      <c r="G45" s="92">
        <v>5</v>
      </c>
      <c r="H45" s="92">
        <v>5</v>
      </c>
      <c r="I45" s="92">
        <v>4.5</v>
      </c>
      <c r="J45" s="220">
        <v>1</v>
      </c>
      <c r="K45" s="220">
        <v>0.9</v>
      </c>
      <c r="L45" s="235">
        <f t="shared" si="0"/>
        <v>-9.9999999999999978E-2</v>
      </c>
    </row>
    <row r="46" spans="1:12" ht="15" outlineLevel="2">
      <c r="A46" s="224" t="s">
        <v>1330</v>
      </c>
      <c r="B46" s="225" t="s">
        <v>1481</v>
      </c>
      <c r="C46" s="224" t="s">
        <v>1482</v>
      </c>
      <c r="D46" s="226">
        <v>44358</v>
      </c>
      <c r="E46" s="226">
        <v>44358</v>
      </c>
      <c r="F46" s="220">
        <v>0</v>
      </c>
      <c r="G46" s="92">
        <v>0</v>
      </c>
      <c r="H46" s="92">
        <v>0</v>
      </c>
      <c r="I46" s="92">
        <v>0</v>
      </c>
      <c r="J46" s="220">
        <v>0</v>
      </c>
      <c r="K46" s="220">
        <v>0</v>
      </c>
      <c r="L46" s="220">
        <f t="shared" si="0"/>
        <v>0</v>
      </c>
    </row>
    <row r="47" spans="1:12" ht="15" outlineLevel="2">
      <c r="A47" s="224" t="s">
        <v>1330</v>
      </c>
      <c r="B47" s="225" t="s">
        <v>1099</v>
      </c>
      <c r="C47" s="224" t="s">
        <v>1490</v>
      </c>
      <c r="D47" s="226">
        <v>44462</v>
      </c>
      <c r="E47" s="226">
        <v>44466</v>
      </c>
      <c r="F47" s="220">
        <v>1</v>
      </c>
      <c r="G47" s="92">
        <v>3</v>
      </c>
      <c r="H47" s="92">
        <v>0</v>
      </c>
      <c r="I47" s="92">
        <v>0</v>
      </c>
      <c r="J47" s="220">
        <v>0</v>
      </c>
      <c r="K47" s="220">
        <v>0</v>
      </c>
      <c r="L47" s="220">
        <f t="shared" si="0"/>
        <v>0</v>
      </c>
    </row>
    <row r="48" spans="1:12" ht="15" outlineLevel="2">
      <c r="A48" s="224" t="s">
        <v>1330</v>
      </c>
      <c r="B48" s="225" t="s">
        <v>1501</v>
      </c>
      <c r="C48" s="224" t="s">
        <v>1502</v>
      </c>
      <c r="D48" s="226">
        <v>44346</v>
      </c>
      <c r="E48" s="226">
        <v>44357</v>
      </c>
      <c r="F48" s="220">
        <v>0.5</v>
      </c>
      <c r="G48" s="92">
        <v>4.5</v>
      </c>
      <c r="H48" s="92">
        <v>1</v>
      </c>
      <c r="I48" s="92">
        <v>0.67499999999999993</v>
      </c>
      <c r="J48" s="220">
        <v>0.22222222222222221</v>
      </c>
      <c r="K48" s="220">
        <v>0.15</v>
      </c>
      <c r="L48" s="235">
        <f t="shared" si="0"/>
        <v>-7.2222222222222215E-2</v>
      </c>
    </row>
    <row r="49" spans="1:12" ht="15" outlineLevel="1">
      <c r="A49" s="227" t="s">
        <v>1577</v>
      </c>
      <c r="B49" s="228"/>
      <c r="C49" s="229"/>
      <c r="D49" s="230"/>
      <c r="E49" s="230"/>
      <c r="F49" s="231"/>
      <c r="G49" s="232">
        <f>SUBTOTAL(9,G44:G48)</f>
        <v>14.5</v>
      </c>
      <c r="H49" s="232">
        <f>SUBTOTAL(9,H44:H48)</f>
        <v>8</v>
      </c>
      <c r="I49" s="232">
        <f>SUBTOTAL(9,I44:I48)</f>
        <v>7.1749999999999998</v>
      </c>
      <c r="J49" s="231">
        <f>H49/G49</f>
        <v>0.55172413793103448</v>
      </c>
      <c r="K49" s="231">
        <f>I49/G49</f>
        <v>0.49482758620689654</v>
      </c>
      <c r="L49" s="236">
        <f t="shared" si="0"/>
        <v>-5.6896551724137934E-2</v>
      </c>
    </row>
    <row r="50" spans="1:12" ht="15" outlineLevel="2">
      <c r="A50" s="224" t="s">
        <v>735</v>
      </c>
      <c r="B50" s="225" t="s">
        <v>1119</v>
      </c>
      <c r="C50" s="224" t="s">
        <v>1491</v>
      </c>
      <c r="D50" s="226">
        <v>44469</v>
      </c>
      <c r="E50" s="226">
        <v>44487</v>
      </c>
      <c r="F50" s="220">
        <v>1</v>
      </c>
      <c r="G50" s="92">
        <v>13</v>
      </c>
      <c r="H50" s="92">
        <v>0</v>
      </c>
      <c r="I50" s="92">
        <v>0</v>
      </c>
      <c r="J50" s="220">
        <v>0</v>
      </c>
      <c r="K50" s="220">
        <v>0</v>
      </c>
      <c r="L50" s="220">
        <f t="shared" si="0"/>
        <v>0</v>
      </c>
    </row>
    <row r="51" spans="1:12" ht="15" outlineLevel="1">
      <c r="A51" s="227" t="s">
        <v>1578</v>
      </c>
      <c r="B51" s="228"/>
      <c r="C51" s="229"/>
      <c r="D51" s="230"/>
      <c r="E51" s="230"/>
      <c r="F51" s="231"/>
      <c r="G51" s="232">
        <f>SUBTOTAL(9,G50:G50)</f>
        <v>13</v>
      </c>
      <c r="H51" s="232">
        <f>SUBTOTAL(9,H50:H50)</f>
        <v>0</v>
      </c>
      <c r="I51" s="232">
        <f>SUBTOTAL(9,I50:I50)</f>
        <v>0</v>
      </c>
      <c r="J51" s="231">
        <f>H51/G51</f>
        <v>0</v>
      </c>
      <c r="K51" s="231">
        <f>I51/G51</f>
        <v>0</v>
      </c>
      <c r="L51" s="231">
        <f t="shared" si="0"/>
        <v>0</v>
      </c>
    </row>
    <row r="52" spans="1:12" outlineLevel="1">
      <c r="J52" s="220"/>
      <c r="K52" s="220"/>
      <c r="L52" s="220"/>
    </row>
    <row r="53" spans="1:12" outlineLevel="1">
      <c r="A53" s="233" t="s">
        <v>1579</v>
      </c>
      <c r="B53" s="234"/>
      <c r="C53" s="234"/>
      <c r="D53" s="234"/>
      <c r="E53" s="234"/>
      <c r="F53" s="231"/>
      <c r="G53" s="232">
        <f>SUBTOTAL(9,G7:G52)</f>
        <v>286.10000000000002</v>
      </c>
      <c r="H53" s="232">
        <f>SUBTOTAL(9,H7:H52)</f>
        <v>21.4</v>
      </c>
      <c r="I53" s="232">
        <f>SUBTOTAL(9,I7:I52)</f>
        <v>28.095000000000002</v>
      </c>
      <c r="J53" s="231">
        <f>H53/G53</f>
        <v>7.4799021321216352E-2</v>
      </c>
      <c r="K53" s="231">
        <f>I53/G53</f>
        <v>9.8199930094372598E-2</v>
      </c>
      <c r="L53" s="231">
        <f>K53-J53</f>
        <v>2.3400908773156245E-2</v>
      </c>
    </row>
  </sheetData>
  <sortState ref="A7:M50">
    <sortCondition ref="A7:A56"/>
    <sortCondition ref="B7:B56"/>
  </sortState>
  <dataConsolidate/>
  <phoneticPr fontId="2" type="noConversion"/>
  <hyperlinks>
    <hyperlink ref="B44" location="Schedule!$D$7" display="1.1.1"/>
    <hyperlink ref="B31" location="Schedule!$D$7" display="1.1.1"/>
    <hyperlink ref="B45" location="Schedule!$D$9" display="1.1.2.1"/>
    <hyperlink ref="B46" location="Schedule!$D$10" display="1.1.2.2"/>
    <hyperlink ref="B38" location="Schedule!$D$12" display="1.2.1"/>
    <hyperlink ref="B39" location="Schedule!$D$13" display="1.2.2"/>
    <hyperlink ref="B40" location="Schedule!$D$14" display="1.2.3"/>
    <hyperlink ref="B7" location="Schedule!$D$15" display="1.2.4"/>
    <hyperlink ref="B32" location="Schedule!$D$17" display="1.3.1"/>
    <hyperlink ref="B47" location="Schedule!$D$17" display="1.3.1"/>
    <hyperlink ref="B50" location="Schedule!$D$18" display="1.3.2"/>
    <hyperlink ref="B34" location="Schedule!$D$19" display="1.3.3"/>
    <hyperlink ref="B42" location="Schedule!$D$19" display="1.3.3"/>
    <hyperlink ref="B8" location="Schedule!$D$20" display="1.3.4"/>
    <hyperlink ref="B9" location="Schedule!$D$24" display="2.1.1"/>
    <hyperlink ref="B10" location="Schedule!$D$26" display="2.1.2.1"/>
    <hyperlink ref="B36" location="Schedule!$D$27" display="2.1.2.2"/>
    <hyperlink ref="B48" location="Schedule!$D$27" display="2.1.2.2"/>
    <hyperlink ref="B11" location="Schedule!$D$29" display="2.2.1"/>
    <hyperlink ref="B12" location="Schedule!$D$31" display="2.2.2.1"/>
    <hyperlink ref="B13" location="Schedule!$D$32" display="2.2.2.2"/>
    <hyperlink ref="B14" location="Schedule!$D$33" display="2.2.2.3"/>
    <hyperlink ref="B15" location="Schedule!$D$34" display="2.2.3"/>
    <hyperlink ref="B16" location="Schedule!$D$37" display="2.3.1.1"/>
    <hyperlink ref="B17" location="Schedule!$D$40" display="2.3.1.2.1.1"/>
    <hyperlink ref="B18" location="Schedule!$D$41" display="2.3.1.2.1.2"/>
    <hyperlink ref="B19" location="Schedule!$D$42" display="2.3.1.2.1.3"/>
    <hyperlink ref="B20" location="Schedule!$D$43" display="2.3.1.2.2"/>
    <hyperlink ref="B21" location="Schedule!$D$44" display="2.3.1.2.3"/>
    <hyperlink ref="B22" location="Schedule!$D$45" display="2.3.1.2.4"/>
    <hyperlink ref="B23" location="Schedule!$D$47" display="2.3.2.1"/>
    <hyperlink ref="B24" location="Schedule!$D$48" display="2.3.2.2"/>
    <hyperlink ref="B25" location="Schedule!$D$51" display="2.4.1.1"/>
    <hyperlink ref="B26" location="Schedule!$D$53" display="2.4.2.1"/>
    <hyperlink ref="B27" location="Schedule!$D$54" display="2.4.2.2"/>
    <hyperlink ref="B28" location="Schedule!$D$55" display="2.4.2.3"/>
    <hyperlink ref="B29" location="Schedule!$D$56" display="2.4.2.4"/>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1468</v>
      </c>
      <c r="B1" s="1"/>
      <c r="C1" s="1"/>
      <c r="D1" s="1"/>
      <c r="E1" s="1"/>
      <c r="F1" s="1"/>
      <c r="G1" s="1"/>
      <c r="H1" s="1"/>
    </row>
    <row r="2" spans="1:9" s="65" customFormat="1" ht="78.75" customHeight="1">
      <c r="A2" s="305" t="s">
        <v>1469</v>
      </c>
      <c r="B2" s="305"/>
      <c r="C2" s="305"/>
      <c r="D2" s="305"/>
      <c r="E2" s="305"/>
      <c r="F2" s="305"/>
      <c r="G2" s="305"/>
      <c r="H2" s="305"/>
    </row>
    <row r="3" spans="1:9" s="65" customFormat="1" ht="24.75" customHeight="1">
      <c r="A3" s="306" t="s">
        <v>1470</v>
      </c>
      <c r="B3" s="306"/>
      <c r="D3" s="306" t="s">
        <v>1471</v>
      </c>
      <c r="E3" s="306"/>
      <c r="G3" s="306" t="s">
        <v>1472</v>
      </c>
      <c r="H3" s="306"/>
    </row>
    <row r="4" spans="1:9" s="67" customFormat="1" ht="19.5" customHeight="1">
      <c r="A4" s="66" t="s">
        <v>1473</v>
      </c>
      <c r="B4" s="66" t="s">
        <v>1474</v>
      </c>
      <c r="D4" s="66" t="s">
        <v>1473</v>
      </c>
      <c r="E4" s="66" t="s">
        <v>1474</v>
      </c>
      <c r="G4" s="66" t="s">
        <v>1473</v>
      </c>
      <c r="H4" s="66" t="s">
        <v>1474</v>
      </c>
    </row>
    <row r="5" spans="1:9" s="97" customFormat="1" ht="17.399999999999999">
      <c r="A5" s="95" t="s">
        <v>1124</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1125</v>
      </c>
      <c r="B6" s="96">
        <v>43854</v>
      </c>
      <c r="C6" s="97" t="str">
        <f t="shared" si="0"/>
        <v>(금)</v>
      </c>
      <c r="D6" s="98"/>
      <c r="E6" s="99"/>
      <c r="F6" s="97" t="str">
        <f t="shared" si="1"/>
        <v/>
      </c>
      <c r="G6" s="98"/>
      <c r="H6" s="99"/>
      <c r="I6" s="97" t="str">
        <f t="shared" si="2"/>
        <v/>
      </c>
    </row>
    <row r="7" spans="1:9" s="97" customFormat="1" ht="17.399999999999999">
      <c r="A7" s="95" t="s">
        <v>1313</v>
      </c>
      <c r="B7" s="96">
        <v>43857</v>
      </c>
      <c r="C7" s="97" t="str">
        <f t="shared" si="0"/>
        <v>(월)</v>
      </c>
      <c r="D7" s="98"/>
      <c r="E7" s="99"/>
      <c r="F7" s="97" t="str">
        <f t="shared" si="1"/>
        <v/>
      </c>
      <c r="G7" s="98"/>
      <c r="H7" s="99"/>
      <c r="I7" s="97" t="str">
        <f t="shared" si="2"/>
        <v/>
      </c>
    </row>
    <row r="8" spans="1:9" s="97" customFormat="1" ht="17.399999999999999">
      <c r="A8" s="95" t="s">
        <v>1314</v>
      </c>
      <c r="B8" s="96">
        <v>43936</v>
      </c>
      <c r="C8" s="97" t="str">
        <f t="shared" si="0"/>
        <v>(수)</v>
      </c>
      <c r="D8" s="98"/>
      <c r="E8" s="99"/>
      <c r="F8" s="97" t="str">
        <f t="shared" si="1"/>
        <v/>
      </c>
      <c r="G8" s="98"/>
      <c r="H8" s="99"/>
      <c r="I8" s="97" t="str">
        <f t="shared" si="2"/>
        <v/>
      </c>
    </row>
    <row r="9" spans="1:9" s="97" customFormat="1" ht="17.399999999999999">
      <c r="A9" s="95" t="s">
        <v>1315</v>
      </c>
      <c r="B9" s="96">
        <v>43951</v>
      </c>
      <c r="C9" s="97" t="str">
        <f t="shared" si="0"/>
        <v>(목)</v>
      </c>
      <c r="D9" s="98"/>
      <c r="E9" s="99"/>
      <c r="F9" s="97" t="str">
        <f t="shared" si="1"/>
        <v/>
      </c>
      <c r="G9" s="98"/>
      <c r="H9" s="99"/>
      <c r="I9" s="97" t="str">
        <f t="shared" si="2"/>
        <v/>
      </c>
    </row>
    <row r="10" spans="1:9" s="97" customFormat="1" ht="17.399999999999999">
      <c r="A10" s="95" t="s">
        <v>1316</v>
      </c>
      <c r="B10" s="96">
        <v>43956</v>
      </c>
      <c r="C10" s="97" t="str">
        <f t="shared" si="0"/>
        <v>(화)</v>
      </c>
      <c r="D10" s="98"/>
      <c r="E10" s="99"/>
      <c r="F10" s="97" t="str">
        <f t="shared" si="1"/>
        <v/>
      </c>
      <c r="G10" s="98"/>
      <c r="H10" s="99"/>
      <c r="I10" s="97" t="str">
        <f t="shared" si="2"/>
        <v/>
      </c>
    </row>
    <row r="11" spans="1:9" s="97" customFormat="1" ht="17.399999999999999">
      <c r="A11" s="95" t="s">
        <v>1321</v>
      </c>
      <c r="B11" s="96">
        <v>44060</v>
      </c>
      <c r="C11" s="97" t="str">
        <f t="shared" si="0"/>
        <v>(월)</v>
      </c>
      <c r="D11" s="98"/>
      <c r="E11" s="99"/>
      <c r="F11" s="97" t="str">
        <f t="shared" si="1"/>
        <v/>
      </c>
      <c r="G11" s="98"/>
      <c r="H11" s="99"/>
      <c r="I11" s="97" t="str">
        <f t="shared" si="2"/>
        <v/>
      </c>
    </row>
    <row r="12" spans="1:9" s="97" customFormat="1" ht="17.399999999999999">
      <c r="A12" s="95" t="s">
        <v>1317</v>
      </c>
      <c r="B12" s="96">
        <v>44104</v>
      </c>
      <c r="C12" s="97" t="str">
        <f t="shared" si="0"/>
        <v>(수)</v>
      </c>
      <c r="D12" s="98"/>
      <c r="E12" s="99"/>
      <c r="F12" s="97" t="str">
        <f t="shared" si="1"/>
        <v/>
      </c>
      <c r="G12" s="98"/>
      <c r="H12" s="99"/>
      <c r="I12" s="97" t="str">
        <f t="shared" si="2"/>
        <v/>
      </c>
    </row>
    <row r="13" spans="1:9" s="97" customFormat="1" ht="17.399999999999999">
      <c r="A13" s="95" t="s">
        <v>1318</v>
      </c>
      <c r="B13" s="96">
        <v>44105</v>
      </c>
      <c r="C13" s="97" t="str">
        <f t="shared" si="0"/>
        <v>(목)</v>
      </c>
      <c r="D13" s="98"/>
      <c r="E13" s="99"/>
      <c r="F13" s="97" t="str">
        <f t="shared" si="1"/>
        <v/>
      </c>
      <c r="G13" s="98"/>
      <c r="H13" s="99"/>
      <c r="I13" s="97" t="str">
        <f t="shared" si="2"/>
        <v/>
      </c>
    </row>
    <row r="14" spans="1:9" s="97" customFormat="1" ht="17.399999999999999">
      <c r="A14" s="95" t="s">
        <v>1317</v>
      </c>
      <c r="B14" s="96">
        <v>44106</v>
      </c>
      <c r="C14" s="97" t="str">
        <f t="shared" si="0"/>
        <v>(금)</v>
      </c>
      <c r="D14" s="98"/>
      <c r="E14" s="99"/>
      <c r="F14" s="97" t="str">
        <f t="shared" si="1"/>
        <v/>
      </c>
      <c r="G14" s="98"/>
      <c r="H14" s="99"/>
      <c r="I14" s="97" t="str">
        <f t="shared" si="2"/>
        <v/>
      </c>
    </row>
    <row r="15" spans="1:9" s="97" customFormat="1" ht="17.399999999999999">
      <c r="A15" s="95" t="s">
        <v>1319</v>
      </c>
      <c r="B15" s="96">
        <v>44113</v>
      </c>
      <c r="C15" s="97" t="str">
        <f t="shared" si="0"/>
        <v>(금)</v>
      </c>
      <c r="D15" s="98"/>
      <c r="E15" s="99"/>
      <c r="F15" s="97" t="str">
        <f t="shared" si="1"/>
        <v/>
      </c>
      <c r="G15" s="98"/>
      <c r="H15" s="99"/>
      <c r="I15" s="97" t="str">
        <f t="shared" si="2"/>
        <v/>
      </c>
    </row>
    <row r="16" spans="1:9" s="97" customFormat="1" ht="17.399999999999999">
      <c r="A16" s="95" t="s">
        <v>1320</v>
      </c>
      <c r="B16" s="96">
        <v>44190</v>
      </c>
      <c r="C16" s="97" t="str">
        <f t="shared" si="0"/>
        <v>(금)</v>
      </c>
      <c r="D16" s="98"/>
      <c r="E16" s="99"/>
      <c r="F16" s="97" t="str">
        <f t="shared" si="1"/>
        <v/>
      </c>
      <c r="G16" s="98"/>
      <c r="H16" s="99"/>
      <c r="I16" s="97" t="str">
        <f t="shared" si="2"/>
        <v/>
      </c>
    </row>
    <row r="17" spans="1:10" s="97" customFormat="1" ht="17.399999999999999">
      <c r="A17" s="95" t="s">
        <v>1322</v>
      </c>
      <c r="B17" s="96">
        <v>44197</v>
      </c>
      <c r="C17" s="97" t="str">
        <f t="shared" si="0"/>
        <v>(금)</v>
      </c>
      <c r="D17" s="98"/>
      <c r="E17" s="99"/>
      <c r="F17" s="97" t="str">
        <f t="shared" si="1"/>
        <v/>
      </c>
      <c r="G17" s="98"/>
      <c r="H17" s="99"/>
      <c r="I17" s="97" t="str">
        <f t="shared" si="2"/>
        <v/>
      </c>
    </row>
    <row r="18" spans="1:10" s="97" customFormat="1" ht="17.399999999999999">
      <c r="A18" s="95" t="s">
        <v>1323</v>
      </c>
      <c r="B18" s="96">
        <v>44238</v>
      </c>
      <c r="C18" s="97" t="str">
        <f t="shared" si="0"/>
        <v>(목)</v>
      </c>
      <c r="D18" s="98"/>
      <c r="E18" s="99"/>
      <c r="F18" s="97" t="str">
        <f t="shared" si="1"/>
        <v/>
      </c>
      <c r="G18" s="98"/>
      <c r="H18" s="99"/>
      <c r="I18" s="97" t="str">
        <f t="shared" si="2"/>
        <v/>
      </c>
    </row>
    <row r="19" spans="1:10" s="97" customFormat="1" ht="19.2">
      <c r="A19" s="95" t="s">
        <v>1324</v>
      </c>
      <c r="B19" s="96">
        <v>44239</v>
      </c>
      <c r="C19" s="97" t="str">
        <f t="shared" si="0"/>
        <v>(금)</v>
      </c>
      <c r="D19" s="98"/>
      <c r="E19" s="99"/>
      <c r="F19" s="97" t="str">
        <f t="shared" si="1"/>
        <v/>
      </c>
      <c r="G19" s="98"/>
      <c r="H19" s="99"/>
      <c r="I19" s="97" t="str">
        <f t="shared" si="2"/>
        <v/>
      </c>
      <c r="J19" s="100"/>
    </row>
    <row r="20" spans="1:10" s="97" customFormat="1" ht="19.2">
      <c r="A20" s="95" t="s">
        <v>1325</v>
      </c>
      <c r="B20" s="96">
        <v>44256</v>
      </c>
      <c r="C20" s="97" t="str">
        <f t="shared" si="0"/>
        <v>(월)</v>
      </c>
      <c r="D20" s="98"/>
      <c r="E20" s="99"/>
      <c r="F20" s="97" t="str">
        <f t="shared" si="1"/>
        <v/>
      </c>
      <c r="G20" s="98"/>
      <c r="H20" s="99"/>
      <c r="I20" s="97" t="str">
        <f t="shared" si="2"/>
        <v/>
      </c>
      <c r="J20" s="100"/>
    </row>
    <row r="21" spans="1:10" s="97" customFormat="1" ht="17.399999999999999">
      <c r="A21" s="95" t="s">
        <v>1326</v>
      </c>
      <c r="B21" s="96">
        <v>44321</v>
      </c>
      <c r="C21" s="97" t="str">
        <f t="shared" si="0"/>
        <v>(수)</v>
      </c>
      <c r="D21" s="98"/>
      <c r="E21" s="99"/>
      <c r="F21" s="97" t="str">
        <f t="shared" si="1"/>
        <v/>
      </c>
      <c r="G21" s="98"/>
      <c r="H21" s="99"/>
      <c r="I21" s="97" t="str">
        <f t="shared" si="2"/>
        <v/>
      </c>
    </row>
    <row r="22" spans="1:10" s="97" customFormat="1" ht="17.399999999999999">
      <c r="A22" s="95" t="s">
        <v>1327</v>
      </c>
      <c r="B22" s="96">
        <v>44335</v>
      </c>
      <c r="C22" s="97" t="str">
        <f t="shared" si="0"/>
        <v>(수)</v>
      </c>
      <c r="D22" s="98"/>
      <c r="E22" s="99"/>
      <c r="F22" s="97" t="str">
        <f t="shared" si="1"/>
        <v/>
      </c>
      <c r="G22" s="98"/>
      <c r="H22" s="99"/>
      <c r="I22" s="97" t="str">
        <f t="shared" si="2"/>
        <v/>
      </c>
    </row>
    <row r="23" spans="1:10" s="97" customFormat="1" ht="17.399999999999999">
      <c r="A23" s="95" t="s">
        <v>1328</v>
      </c>
      <c r="B23" s="96">
        <v>44459</v>
      </c>
      <c r="C23" s="97" t="str">
        <f t="shared" si="0"/>
        <v>(월)</v>
      </c>
      <c r="D23" s="98"/>
      <c r="E23" s="99"/>
      <c r="F23" s="97" t="str">
        <f t="shared" si="1"/>
        <v/>
      </c>
      <c r="G23" s="98"/>
      <c r="H23" s="99"/>
      <c r="I23" s="97" t="str">
        <f t="shared" si="2"/>
        <v/>
      </c>
    </row>
    <row r="24" spans="1:10" s="97" customFormat="1" ht="17.399999999999999">
      <c r="A24" s="95" t="s">
        <v>1329</v>
      </c>
      <c r="B24" s="96">
        <v>44460</v>
      </c>
      <c r="C24" s="97" t="str">
        <f t="shared" si="0"/>
        <v>(화)</v>
      </c>
      <c r="D24" s="98"/>
      <c r="E24" s="99"/>
      <c r="F24" s="97" t="str">
        <f t="shared" si="1"/>
        <v/>
      </c>
      <c r="G24" s="98"/>
      <c r="H24" s="99"/>
      <c r="I24" s="97" t="str">
        <f t="shared" si="2"/>
        <v/>
      </c>
    </row>
    <row r="25" spans="1:10" s="97" customFormat="1" ht="17.399999999999999">
      <c r="A25" s="95" t="s">
        <v>1328</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1475</v>
      </c>
      <c r="D305" s="97" t="s">
        <v>1475</v>
      </c>
      <c r="G305" s="97" t="s">
        <v>1475</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1346</v>
      </c>
    </row>
    <row r="2" spans="1:6" ht="92.4">
      <c r="A2" s="87" t="s">
        <v>1335</v>
      </c>
      <c r="B2" s="88">
        <v>1</v>
      </c>
      <c r="C2" s="89" t="s">
        <v>1018</v>
      </c>
      <c r="D2" s="90" t="s">
        <v>501</v>
      </c>
      <c r="E2" s="90" t="s">
        <v>580</v>
      </c>
      <c r="F2" s="90" t="s">
        <v>580</v>
      </c>
    </row>
    <row r="3" spans="1:6" ht="105.6">
      <c r="A3" s="175">
        <v>600</v>
      </c>
      <c r="B3" s="88">
        <v>2</v>
      </c>
      <c r="C3" s="89" t="s">
        <v>1018</v>
      </c>
      <c r="D3" s="90" t="s">
        <v>494</v>
      </c>
      <c r="E3" s="90" t="s">
        <v>581</v>
      </c>
      <c r="F3" s="90" t="s">
        <v>581</v>
      </c>
    </row>
    <row r="4" spans="1:6" ht="66">
      <c r="B4" s="88">
        <v>3</v>
      </c>
      <c r="C4" s="89" t="s">
        <v>1018</v>
      </c>
      <c r="D4" s="90" t="s">
        <v>502</v>
      </c>
      <c r="E4" s="90" t="s">
        <v>582</v>
      </c>
      <c r="F4" s="90" t="s">
        <v>582</v>
      </c>
    </row>
    <row r="5" spans="1:6" ht="66">
      <c r="B5" s="88">
        <v>4</v>
      </c>
      <c r="C5" s="89" t="s">
        <v>1018</v>
      </c>
      <c r="D5" s="90" t="s">
        <v>503</v>
      </c>
      <c r="E5" s="90" t="s">
        <v>583</v>
      </c>
      <c r="F5" s="90" t="s">
        <v>583</v>
      </c>
    </row>
    <row r="6" spans="1:6" ht="66">
      <c r="B6" s="88">
        <v>5</v>
      </c>
      <c r="C6" s="89" t="s">
        <v>1018</v>
      </c>
      <c r="D6" s="90" t="s">
        <v>504</v>
      </c>
      <c r="E6" s="90" t="s">
        <v>584</v>
      </c>
      <c r="F6" s="90" t="s">
        <v>584</v>
      </c>
    </row>
    <row r="7" spans="1:6" ht="52.8">
      <c r="B7" s="88">
        <v>6</v>
      </c>
      <c r="C7" s="89" t="s">
        <v>1018</v>
      </c>
      <c r="D7" s="90" t="s">
        <v>505</v>
      </c>
      <c r="E7" s="90" t="s">
        <v>585</v>
      </c>
      <c r="F7" s="90" t="s">
        <v>585</v>
      </c>
    </row>
    <row r="8" spans="1:6">
      <c r="B8" s="88">
        <v>7</v>
      </c>
      <c r="C8" s="89" t="s">
        <v>1018</v>
      </c>
      <c r="D8" s="90" t="s">
        <v>496</v>
      </c>
      <c r="E8" s="90" t="s">
        <v>586</v>
      </c>
      <c r="F8" s="90" t="s">
        <v>586</v>
      </c>
    </row>
    <row r="9" spans="1:6" ht="52.8">
      <c r="B9" s="88">
        <v>8</v>
      </c>
      <c r="C9" s="89" t="s">
        <v>1225</v>
      </c>
      <c r="D9" s="90" t="s">
        <v>1222</v>
      </c>
      <c r="E9" s="90" t="s">
        <v>1141</v>
      </c>
      <c r="F9" s="90" t="s">
        <v>1141</v>
      </c>
    </row>
    <row r="10" spans="1:6" ht="52.8">
      <c r="B10" s="88">
        <v>9</v>
      </c>
      <c r="C10" s="89" t="s">
        <v>1225</v>
      </c>
      <c r="D10" s="90" t="s">
        <v>1203</v>
      </c>
      <c r="E10" s="90" t="s">
        <v>1165</v>
      </c>
      <c r="F10" s="90" t="s">
        <v>1165</v>
      </c>
    </row>
    <row r="11" spans="1:6" ht="66">
      <c r="B11" s="88">
        <v>10</v>
      </c>
      <c r="C11" s="89" t="s">
        <v>1225</v>
      </c>
      <c r="D11" s="90" t="s">
        <v>1223</v>
      </c>
      <c r="E11" s="90" t="s">
        <v>1205</v>
      </c>
      <c r="F11" s="90" t="s">
        <v>1205</v>
      </c>
    </row>
    <row r="12" spans="1:6" ht="52.8">
      <c r="B12" s="88">
        <v>11</v>
      </c>
      <c r="C12" s="89" t="s">
        <v>1225</v>
      </c>
      <c r="D12" s="90" t="s">
        <v>1208</v>
      </c>
      <c r="E12" s="90" t="s">
        <v>1207</v>
      </c>
      <c r="F12" s="90" t="s">
        <v>1207</v>
      </c>
    </row>
    <row r="13" spans="1:6" ht="92.4">
      <c r="B13" s="88">
        <v>12</v>
      </c>
      <c r="C13" s="89" t="s">
        <v>1225</v>
      </c>
      <c r="D13" s="90" t="s">
        <v>1209</v>
      </c>
      <c r="E13" s="90" t="s">
        <v>1169</v>
      </c>
      <c r="F13" s="90" t="s">
        <v>1169</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6.4">
      <c r="B19" s="88">
        <v>106</v>
      </c>
      <c r="D19" s="90" t="s">
        <v>418</v>
      </c>
      <c r="E19" s="90" t="s">
        <v>592</v>
      </c>
      <c r="F19" s="90" t="s">
        <v>592</v>
      </c>
    </row>
    <row r="20" spans="1:6" ht="39.6">
      <c r="B20" s="88">
        <v>107</v>
      </c>
      <c r="D20" s="90" t="s">
        <v>419</v>
      </c>
      <c r="E20" s="90" t="s">
        <v>593</v>
      </c>
      <c r="F20" s="90" t="s">
        <v>593</v>
      </c>
    </row>
    <row r="21" spans="1:6" ht="39.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176"/>
      <c r="B25" s="88">
        <v>112</v>
      </c>
      <c r="C25" s="177" t="s">
        <v>489</v>
      </c>
      <c r="D25" s="175" t="s">
        <v>506</v>
      </c>
      <c r="E25" s="175" t="s">
        <v>571</v>
      </c>
      <c r="F25" s="175" t="s">
        <v>571</v>
      </c>
    </row>
    <row r="26" spans="1:6">
      <c r="B26" s="88">
        <v>113</v>
      </c>
      <c r="D26" s="90" t="s">
        <v>74</v>
      </c>
      <c r="E26" s="90" t="s">
        <v>571</v>
      </c>
      <c r="F26" s="90" t="s">
        <v>571</v>
      </c>
    </row>
    <row r="27" spans="1:6">
      <c r="B27" s="88">
        <v>114</v>
      </c>
      <c r="C27" s="89" t="s">
        <v>1139</v>
      </c>
      <c r="D27" s="90" t="s">
        <v>1175</v>
      </c>
      <c r="E27" s="90" t="s">
        <v>1148</v>
      </c>
      <c r="F27" s="90" t="s">
        <v>1148</v>
      </c>
    </row>
    <row r="28" spans="1:6">
      <c r="B28" s="88">
        <v>115</v>
      </c>
      <c r="D28" s="90" t="s">
        <v>1261</v>
      </c>
      <c r="E28" s="90" t="s">
        <v>1262</v>
      </c>
      <c r="F28" s="90" t="s">
        <v>1262</v>
      </c>
    </row>
    <row r="29" spans="1:6" ht="26.4">
      <c r="B29" s="88">
        <v>116</v>
      </c>
      <c r="D29" s="90" t="s">
        <v>75</v>
      </c>
      <c r="E29" s="90" t="s">
        <v>598</v>
      </c>
      <c r="F29" s="90" t="s">
        <v>598</v>
      </c>
    </row>
    <row r="30" spans="1:6">
      <c r="B30" s="88">
        <v>117</v>
      </c>
      <c r="D30" s="90" t="s">
        <v>76</v>
      </c>
      <c r="E30" s="90" t="s">
        <v>599</v>
      </c>
      <c r="F30" s="90" t="s">
        <v>599</v>
      </c>
    </row>
    <row r="31" spans="1:6" ht="26.4">
      <c r="B31" s="88">
        <v>118</v>
      </c>
      <c r="D31" s="90" t="s">
        <v>421</v>
      </c>
      <c r="E31" s="90" t="s">
        <v>600</v>
      </c>
      <c r="F31" s="90" t="s">
        <v>600</v>
      </c>
    </row>
    <row r="32" spans="1:6">
      <c r="B32" s="88">
        <v>119</v>
      </c>
      <c r="D32" s="90" t="s">
        <v>1057</v>
      </c>
      <c r="E32" s="90" t="s">
        <v>1058</v>
      </c>
      <c r="F32" s="90" t="s">
        <v>1058</v>
      </c>
    </row>
    <row r="33" spans="2:6">
      <c r="B33" s="88">
        <v>120</v>
      </c>
      <c r="D33" s="90" t="s">
        <v>1030</v>
      </c>
      <c r="E33" s="90" t="s">
        <v>1031</v>
      </c>
      <c r="F33" s="90" t="s">
        <v>1031</v>
      </c>
    </row>
    <row r="34" spans="2:6" ht="26.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6.4">
      <c r="B38" s="88">
        <v>125</v>
      </c>
      <c r="D38" s="90" t="s">
        <v>1061</v>
      </c>
      <c r="E38" s="90" t="s">
        <v>1062</v>
      </c>
      <c r="F38" s="90" t="s">
        <v>1062</v>
      </c>
    </row>
    <row r="39" spans="2:6" ht="26.4">
      <c r="B39" s="88">
        <v>126</v>
      </c>
      <c r="D39" s="90" t="s">
        <v>1060</v>
      </c>
      <c r="E39" s="90" t="s">
        <v>1059</v>
      </c>
      <c r="F39" s="90" t="s">
        <v>1059</v>
      </c>
    </row>
    <row r="40" spans="2:6" ht="26.4">
      <c r="B40" s="88">
        <v>127</v>
      </c>
      <c r="D40" s="90" t="s">
        <v>80</v>
      </c>
      <c r="E40" s="90" t="s">
        <v>604</v>
      </c>
      <c r="F40" s="90" t="s">
        <v>604</v>
      </c>
    </row>
    <row r="41" spans="2:6" ht="26.4">
      <c r="B41" s="88">
        <v>128</v>
      </c>
      <c r="D41" s="90" t="s">
        <v>81</v>
      </c>
      <c r="E41" s="90" t="s">
        <v>605</v>
      </c>
      <c r="F41" s="90" t="s">
        <v>605</v>
      </c>
    </row>
    <row r="42" spans="2:6" ht="26.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1363</v>
      </c>
      <c r="E46" s="90" t="s">
        <v>609</v>
      </c>
      <c r="F46" s="90" t="s">
        <v>609</v>
      </c>
    </row>
    <row r="47" spans="2:6">
      <c r="B47" s="88">
        <v>134</v>
      </c>
      <c r="D47" s="90" t="s">
        <v>1362</v>
      </c>
      <c r="E47" s="90" t="s">
        <v>610</v>
      </c>
      <c r="F47" s="90" t="s">
        <v>610</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611</v>
      </c>
      <c r="F51" s="90" t="s">
        <v>611</v>
      </c>
    </row>
    <row r="52" spans="2:6">
      <c r="B52" s="88">
        <v>139</v>
      </c>
      <c r="C52" s="89" t="s">
        <v>507</v>
      </c>
      <c r="D52" s="90" t="s">
        <v>508</v>
      </c>
      <c r="E52" s="90" t="s">
        <v>509</v>
      </c>
      <c r="F52" s="90" t="s">
        <v>509</v>
      </c>
    </row>
    <row r="53" spans="2:6" ht="26.4">
      <c r="B53" s="88">
        <v>140</v>
      </c>
      <c r="D53" s="90" t="s">
        <v>86</v>
      </c>
      <c r="E53" s="90" t="s">
        <v>612</v>
      </c>
      <c r="F53" s="90" t="s">
        <v>612</v>
      </c>
    </row>
    <row r="54" spans="2:6" ht="26.4">
      <c r="B54" s="88">
        <v>141</v>
      </c>
      <c r="D54" s="90" t="s">
        <v>87</v>
      </c>
      <c r="E54" s="90" t="s">
        <v>613</v>
      </c>
      <c r="F54" s="90" t="s">
        <v>613</v>
      </c>
    </row>
    <row r="55" spans="2:6">
      <c r="B55" s="88">
        <v>142</v>
      </c>
      <c r="D55" s="90" t="s">
        <v>1020</v>
      </c>
      <c r="E55" s="90" t="s">
        <v>1021</v>
      </c>
      <c r="F55" s="90" t="s">
        <v>1021</v>
      </c>
    </row>
    <row r="56" spans="2:6">
      <c r="B56" s="88">
        <v>143</v>
      </c>
      <c r="C56" s="89" t="s">
        <v>579</v>
      </c>
      <c r="D56" s="87" t="s">
        <v>424</v>
      </c>
      <c r="E56" s="179" t="s">
        <v>568</v>
      </c>
      <c r="F56" s="179" t="s">
        <v>568</v>
      </c>
    </row>
    <row r="57" spans="2:6">
      <c r="B57" s="88">
        <v>144</v>
      </c>
      <c r="D57" s="90" t="s">
        <v>88</v>
      </c>
      <c r="E57" s="90" t="s">
        <v>614</v>
      </c>
      <c r="F57" s="90" t="s">
        <v>614</v>
      </c>
    </row>
    <row r="58" spans="2:6" ht="26.4">
      <c r="B58" s="88">
        <v>145</v>
      </c>
      <c r="D58" s="90" t="s">
        <v>89</v>
      </c>
      <c r="E58" s="90" t="s">
        <v>615</v>
      </c>
      <c r="F58" s="90" t="s">
        <v>615</v>
      </c>
    </row>
    <row r="59" spans="2:6">
      <c r="B59" s="88">
        <v>146</v>
      </c>
      <c r="D59" s="90" t="s">
        <v>90</v>
      </c>
      <c r="E59" s="90" t="s">
        <v>616</v>
      </c>
      <c r="F59" s="90" t="s">
        <v>616</v>
      </c>
    </row>
    <row r="60" spans="2:6" ht="26.4">
      <c r="B60" s="88">
        <v>147</v>
      </c>
      <c r="D60" s="90" t="s">
        <v>91</v>
      </c>
      <c r="E60" s="90" t="s">
        <v>617</v>
      </c>
      <c r="F60" s="90" t="s">
        <v>617</v>
      </c>
    </row>
    <row r="61" spans="2:6">
      <c r="B61" s="88">
        <v>148</v>
      </c>
      <c r="D61" s="90" t="s">
        <v>1022</v>
      </c>
      <c r="E61" s="90" t="s">
        <v>1023</v>
      </c>
      <c r="F61" s="90" t="s">
        <v>1023</v>
      </c>
    </row>
    <row r="62" spans="2:6">
      <c r="B62" s="88">
        <v>149</v>
      </c>
      <c r="D62" s="90" t="s">
        <v>1024</v>
      </c>
      <c r="E62" s="90" t="s">
        <v>1025</v>
      </c>
      <c r="F62" s="90" t="s">
        <v>1025</v>
      </c>
    </row>
    <row r="63" spans="2:6">
      <c r="B63" s="88">
        <v>150</v>
      </c>
      <c r="D63" s="90" t="s">
        <v>92</v>
      </c>
      <c r="E63" s="90" t="s">
        <v>618</v>
      </c>
      <c r="F63" s="90" t="s">
        <v>618</v>
      </c>
    </row>
    <row r="64" spans="2:6">
      <c r="B64" s="88">
        <v>151</v>
      </c>
      <c r="C64" s="89" t="s">
        <v>579</v>
      </c>
      <c r="D64" s="87" t="s">
        <v>425</v>
      </c>
      <c r="E64" s="179" t="s">
        <v>567</v>
      </c>
      <c r="F64" s="179"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6.4">
      <c r="B68" s="88">
        <v>155</v>
      </c>
      <c r="D68" s="90" t="s">
        <v>96</v>
      </c>
      <c r="E68" s="90" t="s">
        <v>622</v>
      </c>
      <c r="F68" s="90" t="s">
        <v>622</v>
      </c>
    </row>
    <row r="69" spans="1:6">
      <c r="B69" s="88">
        <v>156</v>
      </c>
      <c r="C69" s="89" t="s">
        <v>579</v>
      </c>
      <c r="D69" s="87" t="s">
        <v>577</v>
      </c>
      <c r="E69" s="179" t="s">
        <v>570</v>
      </c>
      <c r="F69" s="179" t="s">
        <v>570</v>
      </c>
    </row>
    <row r="70" spans="1:6">
      <c r="B70" s="88">
        <v>157</v>
      </c>
      <c r="C70" s="89" t="s">
        <v>579</v>
      </c>
      <c r="D70" s="87" t="s">
        <v>576</v>
      </c>
      <c r="E70" s="179" t="s">
        <v>569</v>
      </c>
      <c r="F70" s="179" t="s">
        <v>569</v>
      </c>
    </row>
    <row r="71" spans="1:6">
      <c r="B71" s="88">
        <v>158</v>
      </c>
      <c r="D71" s="90" t="s">
        <v>426</v>
      </c>
      <c r="E71" s="90" t="s">
        <v>623</v>
      </c>
      <c r="F71" s="90" t="s">
        <v>623</v>
      </c>
    </row>
    <row r="72" spans="1:6">
      <c r="A72" s="180"/>
      <c r="B72" s="88">
        <v>159</v>
      </c>
      <c r="C72" s="177" t="s">
        <v>489</v>
      </c>
      <c r="D72" s="175" t="s">
        <v>510</v>
      </c>
      <c r="E72" s="175" t="s">
        <v>624</v>
      </c>
      <c r="F72" s="175" t="s">
        <v>624</v>
      </c>
    </row>
    <row r="73" spans="1:6">
      <c r="B73" s="88">
        <v>160</v>
      </c>
      <c r="D73" s="90" t="s">
        <v>97</v>
      </c>
      <c r="E73" s="175" t="s">
        <v>625</v>
      </c>
      <c r="F73" s="175" t="s">
        <v>625</v>
      </c>
    </row>
    <row r="74" spans="1:6">
      <c r="B74" s="88">
        <v>161</v>
      </c>
      <c r="D74" s="90" t="s">
        <v>98</v>
      </c>
      <c r="E74" s="175" t="s">
        <v>626</v>
      </c>
      <c r="F74" s="175" t="s">
        <v>626</v>
      </c>
    </row>
    <row r="75" spans="1:6">
      <c r="B75" s="88">
        <v>162</v>
      </c>
      <c r="D75" s="90" t="s">
        <v>1050</v>
      </c>
      <c r="E75" s="90" t="s">
        <v>1045</v>
      </c>
      <c r="F75" s="90" t="s">
        <v>1045</v>
      </c>
    </row>
    <row r="76" spans="1:6">
      <c r="B76" s="88">
        <v>163</v>
      </c>
      <c r="D76" s="90" t="s">
        <v>1046</v>
      </c>
      <c r="E76" s="90" t="s">
        <v>1047</v>
      </c>
      <c r="F76" s="90" t="s">
        <v>1047</v>
      </c>
    </row>
    <row r="77" spans="1:6">
      <c r="B77" s="88">
        <v>164</v>
      </c>
      <c r="D77" s="90" t="s">
        <v>1043</v>
      </c>
      <c r="E77" s="90" t="s">
        <v>1044</v>
      </c>
      <c r="F77" s="90" t="s">
        <v>1044</v>
      </c>
    </row>
    <row r="78" spans="1:6">
      <c r="A78" s="180"/>
      <c r="B78" s="88">
        <v>165</v>
      </c>
      <c r="C78" s="177" t="s">
        <v>489</v>
      </c>
      <c r="D78" s="175" t="s">
        <v>511</v>
      </c>
      <c r="E78" s="175" t="s">
        <v>627</v>
      </c>
      <c r="F78" s="175" t="s">
        <v>627</v>
      </c>
    </row>
    <row r="79" spans="1:6">
      <c r="A79" s="180"/>
      <c r="B79" s="88">
        <v>166</v>
      </c>
      <c r="C79" s="177" t="s">
        <v>489</v>
      </c>
      <c r="D79" s="175" t="s">
        <v>512</v>
      </c>
      <c r="E79" s="175" t="s">
        <v>628</v>
      </c>
      <c r="F79" s="175" t="s">
        <v>628</v>
      </c>
    </row>
    <row r="80" spans="1:6">
      <c r="A80" s="180"/>
      <c r="B80" s="88">
        <v>167</v>
      </c>
      <c r="C80" s="177" t="s">
        <v>489</v>
      </c>
      <c r="D80" s="175" t="s">
        <v>513</v>
      </c>
      <c r="E80" s="175" t="s">
        <v>629</v>
      </c>
      <c r="F80" s="175" t="s">
        <v>629</v>
      </c>
    </row>
    <row r="81" spans="1:6">
      <c r="A81" s="180"/>
      <c r="B81" s="88">
        <v>168</v>
      </c>
      <c r="C81" s="177" t="s">
        <v>489</v>
      </c>
      <c r="D81" s="175" t="s">
        <v>497</v>
      </c>
      <c r="E81" s="175" t="s">
        <v>630</v>
      </c>
      <c r="F81" s="175" t="s">
        <v>630</v>
      </c>
    </row>
    <row r="82" spans="1:6">
      <c r="B82" s="88">
        <v>169</v>
      </c>
      <c r="D82" s="90" t="s">
        <v>99</v>
      </c>
      <c r="E82" s="90" t="s">
        <v>631</v>
      </c>
      <c r="F82" s="90" t="s">
        <v>631</v>
      </c>
    </row>
    <row r="83" spans="1:6">
      <c r="B83" s="88">
        <v>170</v>
      </c>
      <c r="D83" s="90" t="s">
        <v>100</v>
      </c>
      <c r="E83" s="90" t="s">
        <v>632</v>
      </c>
      <c r="F83" s="90" t="s">
        <v>632</v>
      </c>
    </row>
    <row r="84" spans="1:6">
      <c r="B84" s="88">
        <v>171</v>
      </c>
      <c r="D84" s="90" t="s">
        <v>514</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1128</v>
      </c>
      <c r="F87" s="90" t="s">
        <v>1128</v>
      </c>
    </row>
    <row r="88" spans="1:6">
      <c r="B88" s="88">
        <v>175</v>
      </c>
      <c r="D88" s="90" t="s">
        <v>104</v>
      </c>
      <c r="E88" s="90" t="s">
        <v>636</v>
      </c>
      <c r="F88" s="90" t="s">
        <v>636</v>
      </c>
    </row>
    <row r="89" spans="1:6" ht="26.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1139</v>
      </c>
      <c r="D94" s="90" t="s">
        <v>1191</v>
      </c>
      <c r="E94" s="90" t="s">
        <v>1155</v>
      </c>
      <c r="F94" s="90" t="s">
        <v>1155</v>
      </c>
    </row>
    <row r="95" spans="1:6" ht="39.6">
      <c r="B95" s="88">
        <v>182</v>
      </c>
      <c r="C95" s="89" t="s">
        <v>1139</v>
      </c>
      <c r="D95" s="90" t="s">
        <v>1224</v>
      </c>
      <c r="E95" s="90" t="s">
        <v>1164</v>
      </c>
      <c r="F95" s="90" t="s">
        <v>1164</v>
      </c>
    </row>
    <row r="96" spans="1:6">
      <c r="B96" s="88">
        <v>183</v>
      </c>
      <c r="D96" s="90" t="s">
        <v>109</v>
      </c>
      <c r="E96" s="90" t="s">
        <v>641</v>
      </c>
      <c r="F96" s="90" t="s">
        <v>641</v>
      </c>
    </row>
    <row r="97" spans="2:6">
      <c r="B97" s="88">
        <v>184</v>
      </c>
      <c r="D97" s="90" t="s">
        <v>1341</v>
      </c>
      <c r="E97" s="90" t="s">
        <v>1352</v>
      </c>
      <c r="F97" s="90" t="s">
        <v>1352</v>
      </c>
    </row>
    <row r="98" spans="2:6">
      <c r="B98" s="88">
        <v>185</v>
      </c>
      <c r="D98" s="90" t="s">
        <v>110</v>
      </c>
      <c r="E98" s="90" t="s">
        <v>642</v>
      </c>
      <c r="F98" s="90" t="s">
        <v>642</v>
      </c>
    </row>
    <row r="99" spans="2:6" ht="26.4">
      <c r="B99" s="88">
        <v>186</v>
      </c>
      <c r="D99" s="90" t="s">
        <v>111</v>
      </c>
      <c r="E99" s="90" t="s">
        <v>643</v>
      </c>
      <c r="F99" s="90" t="s">
        <v>643</v>
      </c>
    </row>
    <row r="100" spans="2:6" ht="26.4">
      <c r="B100" s="88">
        <v>187</v>
      </c>
      <c r="D100" s="90" t="s">
        <v>112</v>
      </c>
      <c r="E100" s="90" t="s">
        <v>644</v>
      </c>
      <c r="F100" s="90" t="s">
        <v>644</v>
      </c>
    </row>
    <row r="101" spans="2:6" ht="26.4">
      <c r="B101" s="88">
        <v>188</v>
      </c>
      <c r="D101" s="90" t="s">
        <v>113</v>
      </c>
      <c r="E101" s="90" t="s">
        <v>645</v>
      </c>
      <c r="F101" s="90" t="s">
        <v>645</v>
      </c>
    </row>
    <row r="102" spans="2:6">
      <c r="B102" s="88">
        <v>189</v>
      </c>
      <c r="D102" s="90" t="s">
        <v>114</v>
      </c>
      <c r="E102" s="90" t="s">
        <v>646</v>
      </c>
      <c r="F102" s="90" t="s">
        <v>646</v>
      </c>
    </row>
    <row r="103" spans="2:6">
      <c r="B103" s="88">
        <v>190</v>
      </c>
      <c r="C103" s="89" t="s">
        <v>1139</v>
      </c>
      <c r="D103" s="90" t="s">
        <v>1189</v>
      </c>
      <c r="E103" s="90" t="s">
        <v>1154</v>
      </c>
      <c r="F103" s="90" t="s">
        <v>1154</v>
      </c>
    </row>
    <row r="104" spans="2:6">
      <c r="B104" s="88">
        <v>191</v>
      </c>
      <c r="D104" s="90" t="s">
        <v>1231</v>
      </c>
      <c r="E104" s="90" t="s">
        <v>1232</v>
      </c>
      <c r="F104" s="90" t="s">
        <v>1232</v>
      </c>
    </row>
    <row r="105" spans="2:6">
      <c r="B105" s="88">
        <v>192</v>
      </c>
      <c r="D105" s="90" t="s">
        <v>544</v>
      </c>
      <c r="E105" s="90" t="s">
        <v>546</v>
      </c>
      <c r="F105" s="90" t="s">
        <v>546</v>
      </c>
    </row>
    <row r="106" spans="2:6">
      <c r="B106" s="88">
        <v>193</v>
      </c>
      <c r="D106" s="90" t="s">
        <v>545</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6.4">
      <c r="B110" s="88">
        <v>197</v>
      </c>
      <c r="D110" s="90" t="s">
        <v>429</v>
      </c>
      <c r="E110" s="90" t="s">
        <v>650</v>
      </c>
      <c r="F110" s="90" t="s">
        <v>650</v>
      </c>
    </row>
    <row r="111" spans="2:6" ht="26.4">
      <c r="B111" s="88">
        <v>198</v>
      </c>
      <c r="D111" s="90" t="s">
        <v>117</v>
      </c>
      <c r="E111" s="90" t="s">
        <v>651</v>
      </c>
      <c r="F111" s="90" t="s">
        <v>651</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1310</v>
      </c>
      <c r="E114" s="90" t="s">
        <v>1311</v>
      </c>
      <c r="F114" s="90" t="s">
        <v>1311</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522</v>
      </c>
      <c r="F117" s="90" t="s">
        <v>522</v>
      </c>
    </row>
    <row r="118" spans="2:6">
      <c r="B118" s="88">
        <v>205</v>
      </c>
      <c r="D118" s="90" t="s">
        <v>1265</v>
      </c>
      <c r="E118" s="90" t="s">
        <v>1264</v>
      </c>
      <c r="F118" s="90" t="s">
        <v>1264</v>
      </c>
    </row>
    <row r="119" spans="2:6">
      <c r="B119" s="88">
        <v>206</v>
      </c>
      <c r="D119" s="90" t="s">
        <v>1245</v>
      </c>
      <c r="E119" s="90" t="s">
        <v>1246</v>
      </c>
      <c r="F119" s="90" t="s">
        <v>1246</v>
      </c>
    </row>
    <row r="120" spans="2:6">
      <c r="B120" s="88">
        <v>207</v>
      </c>
      <c r="D120" s="90" t="s">
        <v>120</v>
      </c>
      <c r="E120" s="90" t="s">
        <v>654</v>
      </c>
      <c r="F120" s="90" t="s">
        <v>654</v>
      </c>
    </row>
    <row r="121" spans="2:6" ht="26.4">
      <c r="B121" s="88">
        <v>208</v>
      </c>
      <c r="D121" s="90" t="s">
        <v>121</v>
      </c>
      <c r="E121" s="90" t="s">
        <v>655</v>
      </c>
      <c r="F121" s="90" t="s">
        <v>655</v>
      </c>
    </row>
    <row r="122" spans="2:6" ht="26.4">
      <c r="B122" s="88">
        <v>209</v>
      </c>
      <c r="D122" s="90" t="s">
        <v>122</v>
      </c>
      <c r="E122" s="90" t="s">
        <v>656</v>
      </c>
      <c r="F122" s="90" t="s">
        <v>656</v>
      </c>
    </row>
    <row r="123" spans="2:6">
      <c r="B123" s="88">
        <v>210</v>
      </c>
      <c r="D123" s="90" t="s">
        <v>548</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1007</v>
      </c>
      <c r="F127" s="90" t="s">
        <v>1007</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1226</v>
      </c>
      <c r="E139" s="90" t="s">
        <v>1227</v>
      </c>
      <c r="F139" s="90" t="s">
        <v>1227</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1091</v>
      </c>
      <c r="E142" s="90" t="s">
        <v>1092</v>
      </c>
      <c r="F142" s="90" t="s">
        <v>1092</v>
      </c>
    </row>
    <row r="143" spans="2:6">
      <c r="B143" s="88">
        <v>230</v>
      </c>
      <c r="D143" s="90" t="s">
        <v>1089</v>
      </c>
      <c r="E143" s="90" t="s">
        <v>1090</v>
      </c>
      <c r="F143" s="90" t="s">
        <v>1090</v>
      </c>
    </row>
    <row r="144" spans="2:6">
      <c r="B144" s="88">
        <v>231</v>
      </c>
      <c r="D144" s="90" t="s">
        <v>438</v>
      </c>
      <c r="E144" s="90" t="s">
        <v>670</v>
      </c>
      <c r="F144" s="90" t="s">
        <v>670</v>
      </c>
    </row>
    <row r="145" spans="2:6">
      <c r="B145" s="88">
        <v>232</v>
      </c>
      <c r="D145" s="90" t="s">
        <v>1255</v>
      </c>
      <c r="E145" s="90" t="s">
        <v>1256</v>
      </c>
      <c r="F145" s="90" t="s">
        <v>1256</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1252</v>
      </c>
      <c r="E150" s="90" t="s">
        <v>1259</v>
      </c>
      <c r="F150" s="90" t="s">
        <v>1259</v>
      </c>
    </row>
    <row r="151" spans="2:6">
      <c r="B151" s="88">
        <v>238</v>
      </c>
      <c r="D151" s="90" t="s">
        <v>135</v>
      </c>
      <c r="E151" s="90" t="s">
        <v>531</v>
      </c>
      <c r="F151" s="90" t="s">
        <v>531</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1228</v>
      </c>
      <c r="E156" s="90" t="s">
        <v>541</v>
      </c>
      <c r="F156" s="90" t="s">
        <v>541</v>
      </c>
    </row>
    <row r="157" spans="2:6">
      <c r="B157" s="88">
        <v>244</v>
      </c>
      <c r="D157" s="90" t="s">
        <v>1392</v>
      </c>
      <c r="E157" s="90" t="s">
        <v>678</v>
      </c>
      <c r="F157" s="90" t="s">
        <v>678</v>
      </c>
    </row>
    <row r="158" spans="2:6">
      <c r="B158" s="88">
        <v>245</v>
      </c>
      <c r="D158" s="90" t="s">
        <v>1393</v>
      </c>
      <c r="E158" s="90" t="s">
        <v>679</v>
      </c>
      <c r="F158" s="90" t="s">
        <v>679</v>
      </c>
    </row>
    <row r="159" spans="2:6">
      <c r="B159" s="88">
        <v>246</v>
      </c>
      <c r="D159" s="90" t="s">
        <v>444</v>
      </c>
      <c r="E159" s="90" t="s">
        <v>680</v>
      </c>
      <c r="F159" s="90" t="s">
        <v>680</v>
      </c>
    </row>
    <row r="160" spans="2:6">
      <c r="B160" s="88">
        <v>247</v>
      </c>
      <c r="D160" s="90" t="s">
        <v>1230</v>
      </c>
      <c r="E160" s="90" t="s">
        <v>1276</v>
      </c>
      <c r="F160" s="90" t="s">
        <v>1276</v>
      </c>
    </row>
    <row r="161" spans="2:6">
      <c r="B161" s="88">
        <v>248</v>
      </c>
      <c r="D161" s="90" t="s">
        <v>445</v>
      </c>
      <c r="E161" s="90" t="s">
        <v>681</v>
      </c>
      <c r="F161" s="90" t="s">
        <v>681</v>
      </c>
    </row>
    <row r="162" spans="2:6">
      <c r="B162" s="88">
        <v>249</v>
      </c>
      <c r="D162" s="90" t="s">
        <v>446</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1229</v>
      </c>
      <c r="E165" s="90" t="s">
        <v>1275</v>
      </c>
      <c r="F165" s="90" t="s">
        <v>1275</v>
      </c>
    </row>
    <row r="166" spans="2:6">
      <c r="B166" s="88">
        <v>253</v>
      </c>
      <c r="D166" s="90" t="s">
        <v>1413</v>
      </c>
      <c r="E166" s="90" t="s">
        <v>1358</v>
      </c>
      <c r="F166" s="90" t="s">
        <v>1358</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447</v>
      </c>
      <c r="E170" s="90" t="s">
        <v>687</v>
      </c>
      <c r="F170" s="90" t="s">
        <v>687</v>
      </c>
    </row>
    <row r="171" spans="2:6">
      <c r="B171" s="88">
        <v>258</v>
      </c>
      <c r="D171" s="90" t="s">
        <v>448</v>
      </c>
      <c r="E171" s="90" t="s">
        <v>688</v>
      </c>
      <c r="F171" s="90" t="s">
        <v>688</v>
      </c>
    </row>
    <row r="172" spans="2:6">
      <c r="B172" s="88">
        <v>259</v>
      </c>
      <c r="D172" s="90" t="s">
        <v>449</v>
      </c>
      <c r="E172" s="90" t="s">
        <v>689</v>
      </c>
      <c r="F172" s="90" t="s">
        <v>689</v>
      </c>
    </row>
    <row r="173" spans="2:6">
      <c r="B173" s="88">
        <v>260</v>
      </c>
      <c r="D173" s="90" t="s">
        <v>1064</v>
      </c>
      <c r="E173" s="90" t="s">
        <v>1042</v>
      </c>
      <c r="F173" s="90" t="s">
        <v>1042</v>
      </c>
    </row>
    <row r="174" spans="2:6">
      <c r="B174" s="88">
        <v>261</v>
      </c>
      <c r="D174" s="90" t="s">
        <v>1066</v>
      </c>
      <c r="E174" s="90" t="s">
        <v>1068</v>
      </c>
      <c r="F174" s="90" t="s">
        <v>1068</v>
      </c>
    </row>
    <row r="175" spans="2:6" ht="26.4">
      <c r="B175" s="88">
        <v>262</v>
      </c>
      <c r="D175" s="90" t="s">
        <v>1067</v>
      </c>
      <c r="E175" s="90" t="s">
        <v>1069</v>
      </c>
      <c r="F175" s="90" t="s">
        <v>1069</v>
      </c>
    </row>
    <row r="176" spans="2:6" ht="26.4">
      <c r="B176" s="88">
        <v>263</v>
      </c>
      <c r="D176" s="90" t="s">
        <v>1126</v>
      </c>
      <c r="E176" s="90" t="s">
        <v>1127</v>
      </c>
      <c r="F176" s="90" t="s">
        <v>1127</v>
      </c>
    </row>
    <row r="177" spans="2:6">
      <c r="B177" s="88">
        <v>264</v>
      </c>
      <c r="D177" s="90" t="s">
        <v>1065</v>
      </c>
      <c r="E177" s="90" t="s">
        <v>1027</v>
      </c>
      <c r="F177" s="90" t="s">
        <v>1027</v>
      </c>
    </row>
    <row r="178" spans="2:6">
      <c r="B178" s="88">
        <v>265</v>
      </c>
      <c r="D178" s="90" t="s">
        <v>1071</v>
      </c>
      <c r="E178" s="90" t="s">
        <v>1072</v>
      </c>
      <c r="F178" s="90" t="s">
        <v>1072</v>
      </c>
    </row>
    <row r="179" spans="2:6">
      <c r="B179" s="88">
        <v>266</v>
      </c>
      <c r="D179" s="90" t="s">
        <v>1063</v>
      </c>
      <c r="E179" s="90" t="s">
        <v>1026</v>
      </c>
      <c r="F179" s="90" t="s">
        <v>1026</v>
      </c>
    </row>
    <row r="180" spans="2:6">
      <c r="B180" s="88">
        <v>267</v>
      </c>
      <c r="D180" s="90" t="s">
        <v>142</v>
      </c>
      <c r="E180" s="90" t="s">
        <v>690</v>
      </c>
      <c r="F180" s="90" t="s">
        <v>690</v>
      </c>
    </row>
    <row r="181" spans="2:6">
      <c r="B181" s="88">
        <v>268</v>
      </c>
      <c r="D181" s="90" t="s">
        <v>1271</v>
      </c>
      <c r="E181" s="90" t="s">
        <v>1272</v>
      </c>
      <c r="F181" s="90" t="s">
        <v>1272</v>
      </c>
    </row>
    <row r="182" spans="2:6">
      <c r="B182" s="88">
        <v>269</v>
      </c>
      <c r="D182" s="90" t="s">
        <v>143</v>
      </c>
      <c r="E182" s="90" t="s">
        <v>691</v>
      </c>
      <c r="F182" s="90" t="s">
        <v>691</v>
      </c>
    </row>
    <row r="183" spans="2:6">
      <c r="B183" s="88">
        <v>270</v>
      </c>
      <c r="D183" s="90" t="s">
        <v>450</v>
      </c>
      <c r="E183" s="90" t="s">
        <v>692</v>
      </c>
      <c r="F183" s="90" t="s">
        <v>692</v>
      </c>
    </row>
    <row r="184" spans="2:6" ht="26.4">
      <c r="B184" s="88">
        <v>271</v>
      </c>
      <c r="D184" s="90" t="s">
        <v>144</v>
      </c>
      <c r="E184" s="90" t="s">
        <v>693</v>
      </c>
      <c r="F184" s="90" t="s">
        <v>693</v>
      </c>
    </row>
    <row r="185" spans="2:6" ht="39.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6.4">
      <c r="B197" s="88">
        <v>284</v>
      </c>
      <c r="D197" s="90" t="s">
        <v>157</v>
      </c>
      <c r="E197" s="90" t="s">
        <v>705</v>
      </c>
      <c r="F197" s="90" t="s">
        <v>705</v>
      </c>
    </row>
    <row r="198" spans="2:6">
      <c r="B198" s="88">
        <v>285</v>
      </c>
      <c r="D198" s="90" t="s">
        <v>451</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452</v>
      </c>
      <c r="E202" s="90" t="s">
        <v>710</v>
      </c>
      <c r="F202" s="90" t="s">
        <v>710</v>
      </c>
    </row>
    <row r="203" spans="2:6">
      <c r="B203" s="88">
        <v>290</v>
      </c>
      <c r="D203" s="90" t="s">
        <v>453</v>
      </c>
      <c r="E203" s="90" t="s">
        <v>711</v>
      </c>
      <c r="F203" s="90" t="s">
        <v>711</v>
      </c>
    </row>
    <row r="204" spans="2:6">
      <c r="B204" s="88">
        <v>291</v>
      </c>
      <c r="D204" s="90" t="s">
        <v>1234</v>
      </c>
      <c r="E204" s="90" t="s">
        <v>1242</v>
      </c>
      <c r="F204" s="90" t="s">
        <v>1242</v>
      </c>
    </row>
    <row r="205" spans="2:6">
      <c r="B205" s="88">
        <v>292</v>
      </c>
      <c r="D205" s="90" t="s">
        <v>1347</v>
      </c>
      <c r="E205" s="90" t="s">
        <v>1348</v>
      </c>
      <c r="F205" s="90" t="s">
        <v>1348</v>
      </c>
    </row>
    <row r="206" spans="2:6">
      <c r="B206" s="88">
        <v>293</v>
      </c>
      <c r="D206" s="90" t="s">
        <v>1235</v>
      </c>
      <c r="E206" s="90" t="s">
        <v>1241</v>
      </c>
      <c r="F206" s="90" t="s">
        <v>1241</v>
      </c>
    </row>
    <row r="207" spans="2:6">
      <c r="B207" s="88">
        <v>294</v>
      </c>
      <c r="D207" s="90" t="s">
        <v>1233</v>
      </c>
      <c r="E207" s="90" t="s">
        <v>1240</v>
      </c>
      <c r="F207" s="90" t="s">
        <v>1240</v>
      </c>
    </row>
    <row r="208" spans="2:6">
      <c r="B208" s="88">
        <v>295</v>
      </c>
      <c r="D208" s="90" t="s">
        <v>454</v>
      </c>
      <c r="E208" s="90" t="s">
        <v>712</v>
      </c>
      <c r="F208" s="90" t="s">
        <v>712</v>
      </c>
    </row>
    <row r="209" spans="2:6">
      <c r="B209" s="88">
        <v>296</v>
      </c>
      <c r="D209" s="90" t="s">
        <v>538</v>
      </c>
      <c r="E209" s="90" t="s">
        <v>713</v>
      </c>
      <c r="F209" s="90" t="s">
        <v>713</v>
      </c>
    </row>
    <row r="210" spans="2:6">
      <c r="B210" s="88">
        <v>297</v>
      </c>
      <c r="D210" s="90" t="s">
        <v>161</v>
      </c>
      <c r="E210" s="90" t="s">
        <v>714</v>
      </c>
      <c r="F210" s="90" t="s">
        <v>714</v>
      </c>
    </row>
    <row r="211" spans="2:6">
      <c r="B211" s="88">
        <v>298</v>
      </c>
      <c r="C211" s="89" t="s">
        <v>1139</v>
      </c>
      <c r="D211" s="90" t="s">
        <v>1210</v>
      </c>
      <c r="E211" s="90" t="s">
        <v>1150</v>
      </c>
      <c r="F211" s="90" t="s">
        <v>1150</v>
      </c>
    </row>
    <row r="212" spans="2:6">
      <c r="B212" s="88">
        <v>299</v>
      </c>
      <c r="D212" s="90" t="s">
        <v>1254</v>
      </c>
      <c r="E212" s="90" t="s">
        <v>1257</v>
      </c>
      <c r="F212" s="90" t="s">
        <v>1257</v>
      </c>
    </row>
    <row r="213" spans="2:6">
      <c r="B213" s="88">
        <v>300</v>
      </c>
      <c r="D213" s="90" t="s">
        <v>527</v>
      </c>
      <c r="E213" s="90" t="s">
        <v>948</v>
      </c>
      <c r="F213" s="90" t="s">
        <v>948</v>
      </c>
    </row>
    <row r="214" spans="2:6">
      <c r="B214" s="88">
        <v>301</v>
      </c>
      <c r="D214" s="90" t="s">
        <v>1005</v>
      </c>
      <c r="E214" s="90" t="s">
        <v>1006</v>
      </c>
      <c r="F214" s="90" t="s">
        <v>1006</v>
      </c>
    </row>
    <row r="215" spans="2:6">
      <c r="B215" s="88">
        <v>302</v>
      </c>
      <c r="C215" s="89" t="s">
        <v>1139</v>
      </c>
      <c r="D215" s="179" t="s">
        <v>1378</v>
      </c>
      <c r="E215" s="179" t="s">
        <v>1170</v>
      </c>
      <c r="F215" s="179" t="s">
        <v>1170</v>
      </c>
    </row>
    <row r="216" spans="2:6">
      <c r="B216" s="88">
        <v>303</v>
      </c>
      <c r="C216" s="89" t="s">
        <v>1139</v>
      </c>
      <c r="D216" s="179" t="s">
        <v>1178</v>
      </c>
      <c r="E216" s="179" t="s">
        <v>1140</v>
      </c>
      <c r="F216" s="179" t="s">
        <v>1140</v>
      </c>
    </row>
    <row r="217" spans="2:6">
      <c r="B217" s="88">
        <v>304</v>
      </c>
      <c r="C217" s="89" t="s">
        <v>1139</v>
      </c>
      <c r="D217" s="179" t="s">
        <v>1381</v>
      </c>
      <c r="E217" s="179" t="s">
        <v>1149</v>
      </c>
      <c r="F217" s="179" t="s">
        <v>1149</v>
      </c>
    </row>
    <row r="218" spans="2:6">
      <c r="B218" s="88">
        <v>305</v>
      </c>
      <c r="C218" s="89" t="s">
        <v>1139</v>
      </c>
      <c r="D218" s="179" t="s">
        <v>1220</v>
      </c>
      <c r="E218" s="179" t="s">
        <v>1221</v>
      </c>
      <c r="F218" s="179" t="s">
        <v>1221</v>
      </c>
    </row>
    <row r="219" spans="2:6">
      <c r="B219" s="88">
        <v>305</v>
      </c>
      <c r="C219" s="89" t="s">
        <v>1139</v>
      </c>
      <c r="D219" s="179" t="s">
        <v>1379</v>
      </c>
      <c r="E219" s="179" t="s">
        <v>1380</v>
      </c>
      <c r="F219" s="179" t="s">
        <v>1380</v>
      </c>
    </row>
    <row r="220" spans="2:6">
      <c r="B220" s="88">
        <v>306</v>
      </c>
      <c r="C220" s="89" t="s">
        <v>1139</v>
      </c>
      <c r="D220" s="179" t="s">
        <v>1368</v>
      </c>
      <c r="E220" s="179" t="s">
        <v>1369</v>
      </c>
      <c r="F220" s="179" t="s">
        <v>1369</v>
      </c>
    </row>
    <row r="221" spans="2:6">
      <c r="B221" s="88">
        <v>307</v>
      </c>
      <c r="C221" s="89" t="s">
        <v>1139</v>
      </c>
      <c r="D221" s="179" t="s">
        <v>1370</v>
      </c>
      <c r="E221" s="179" t="s">
        <v>1371</v>
      </c>
      <c r="F221" s="179" t="s">
        <v>1371</v>
      </c>
    </row>
    <row r="222" spans="2:6">
      <c r="B222" s="88">
        <v>308</v>
      </c>
      <c r="C222" s="89" t="s">
        <v>1139</v>
      </c>
      <c r="D222" s="179" t="s">
        <v>1372</v>
      </c>
      <c r="E222" s="179" t="s">
        <v>1373</v>
      </c>
      <c r="F222" s="179" t="s">
        <v>1373</v>
      </c>
    </row>
    <row r="223" spans="2:6">
      <c r="B223" s="88">
        <v>309</v>
      </c>
      <c r="C223" s="89" t="s">
        <v>1139</v>
      </c>
      <c r="D223" s="179" t="s">
        <v>1374</v>
      </c>
      <c r="E223" s="179" t="s">
        <v>1375</v>
      </c>
      <c r="F223" s="179" t="s">
        <v>1375</v>
      </c>
    </row>
    <row r="224" spans="2:6">
      <c r="B224" s="88">
        <v>310</v>
      </c>
      <c r="C224" s="89" t="s">
        <v>1139</v>
      </c>
      <c r="D224" s="179" t="s">
        <v>1376</v>
      </c>
      <c r="E224" s="179" t="s">
        <v>1382</v>
      </c>
      <c r="F224" s="179" t="s">
        <v>1382</v>
      </c>
    </row>
    <row r="225" spans="2:6">
      <c r="B225" s="88">
        <v>311</v>
      </c>
      <c r="C225" s="89" t="s">
        <v>1139</v>
      </c>
      <c r="D225" s="179" t="s">
        <v>1377</v>
      </c>
      <c r="E225" s="179" t="s">
        <v>1383</v>
      </c>
      <c r="F225" s="179" t="s">
        <v>1383</v>
      </c>
    </row>
    <row r="226" spans="2:6">
      <c r="B226" s="88">
        <v>312</v>
      </c>
      <c r="C226" s="89" t="s">
        <v>1139</v>
      </c>
      <c r="D226" s="179" t="s">
        <v>1212</v>
      </c>
      <c r="E226" s="179" t="s">
        <v>1384</v>
      </c>
      <c r="F226" s="179" t="s">
        <v>1384</v>
      </c>
    </row>
    <row r="227" spans="2:6">
      <c r="B227" s="88">
        <v>313</v>
      </c>
      <c r="C227" s="89" t="s">
        <v>1139</v>
      </c>
      <c r="D227" s="179" t="s">
        <v>1213</v>
      </c>
      <c r="E227" s="179" t="s">
        <v>1385</v>
      </c>
      <c r="F227" s="179" t="s">
        <v>1385</v>
      </c>
    </row>
    <row r="228" spans="2:6">
      <c r="B228" s="88">
        <v>314</v>
      </c>
      <c r="C228" s="89" t="s">
        <v>1139</v>
      </c>
      <c r="D228" s="179" t="s">
        <v>1214</v>
      </c>
      <c r="E228" s="90" t="s">
        <v>1171</v>
      </c>
      <c r="F228" s="90" t="s">
        <v>1171</v>
      </c>
    </row>
    <row r="229" spans="2:6">
      <c r="B229" s="88">
        <v>315</v>
      </c>
      <c r="C229" s="89" t="s">
        <v>1139</v>
      </c>
      <c r="D229" s="179" t="s">
        <v>1215</v>
      </c>
      <c r="E229" s="90" t="s">
        <v>1172</v>
      </c>
      <c r="F229" s="90" t="s">
        <v>1172</v>
      </c>
    </row>
    <row r="230" spans="2:6">
      <c r="B230" s="88">
        <v>316</v>
      </c>
      <c r="C230" s="89" t="s">
        <v>1139</v>
      </c>
      <c r="D230" s="179" t="s">
        <v>1216</v>
      </c>
      <c r="E230" s="90" t="s">
        <v>1173</v>
      </c>
      <c r="F230" s="90" t="s">
        <v>1173</v>
      </c>
    </row>
    <row r="231" spans="2:6">
      <c r="B231" s="88">
        <v>317</v>
      </c>
      <c r="C231" s="89" t="s">
        <v>1139</v>
      </c>
      <c r="D231" s="179" t="s">
        <v>1217</v>
      </c>
      <c r="E231" s="90" t="s">
        <v>1174</v>
      </c>
      <c r="F231" s="90" t="s">
        <v>1174</v>
      </c>
    </row>
    <row r="232" spans="2:6">
      <c r="B232" s="88">
        <v>318</v>
      </c>
      <c r="C232" s="89" t="s">
        <v>1139</v>
      </c>
      <c r="D232" s="179" t="s">
        <v>1218</v>
      </c>
      <c r="E232" s="179" t="s">
        <v>1219</v>
      </c>
      <c r="F232" s="179" t="s">
        <v>1219</v>
      </c>
    </row>
    <row r="233" spans="2:6" ht="26.4">
      <c r="B233" s="88">
        <v>319</v>
      </c>
      <c r="D233" s="90" t="s">
        <v>162</v>
      </c>
      <c r="E233" s="90" t="s">
        <v>715</v>
      </c>
      <c r="F233" s="90" t="s">
        <v>715</v>
      </c>
    </row>
    <row r="234" spans="2:6" ht="26.4">
      <c r="B234" s="88">
        <v>320</v>
      </c>
      <c r="D234" s="90" t="s">
        <v>163</v>
      </c>
      <c r="E234" s="90" t="s">
        <v>716</v>
      </c>
      <c r="F234" s="90" t="s">
        <v>716</v>
      </c>
    </row>
    <row r="235" spans="2:6" ht="26.4">
      <c r="B235" s="88">
        <v>321</v>
      </c>
      <c r="D235" s="90" t="s">
        <v>164</v>
      </c>
      <c r="E235" s="90" t="s">
        <v>717</v>
      </c>
      <c r="F235" s="90" t="s">
        <v>717</v>
      </c>
    </row>
    <row r="236" spans="2:6" ht="26.4">
      <c r="B236" s="88">
        <v>322</v>
      </c>
      <c r="C236" s="89" t="s">
        <v>1139</v>
      </c>
      <c r="D236" s="90" t="s">
        <v>1211</v>
      </c>
      <c r="E236" s="90" t="s">
        <v>1159</v>
      </c>
      <c r="F236" s="90" t="s">
        <v>1159</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179" t="s">
        <v>955</v>
      </c>
      <c r="F242" s="179" t="s">
        <v>955</v>
      </c>
    </row>
    <row r="243" spans="2:6">
      <c r="B243" s="88">
        <v>329</v>
      </c>
      <c r="C243" s="89" t="s">
        <v>579</v>
      </c>
      <c r="D243" s="87" t="s">
        <v>956</v>
      </c>
      <c r="E243" s="179" t="s">
        <v>957</v>
      </c>
      <c r="F243" s="179" t="s">
        <v>957</v>
      </c>
    </row>
    <row r="244" spans="2:6">
      <c r="B244" s="88">
        <v>330</v>
      </c>
      <c r="D244" s="90" t="s">
        <v>169</v>
      </c>
      <c r="E244" s="90" t="s">
        <v>722</v>
      </c>
      <c r="F244" s="90" t="s">
        <v>722</v>
      </c>
    </row>
    <row r="245" spans="2:6">
      <c r="B245" s="88">
        <v>331</v>
      </c>
      <c r="C245" s="89" t="s">
        <v>579</v>
      </c>
      <c r="D245" s="90" t="s">
        <v>972</v>
      </c>
      <c r="E245" s="90" t="s">
        <v>1011</v>
      </c>
      <c r="F245" s="90" t="s">
        <v>1011</v>
      </c>
    </row>
    <row r="246" spans="2:6">
      <c r="B246" s="88">
        <v>332</v>
      </c>
      <c r="C246" s="89" t="s">
        <v>579</v>
      </c>
      <c r="D246" s="87" t="s">
        <v>978</v>
      </c>
      <c r="E246" s="179" t="s">
        <v>979</v>
      </c>
      <c r="F246" s="179" t="s">
        <v>979</v>
      </c>
    </row>
    <row r="247" spans="2:6" ht="26.4">
      <c r="B247" s="88">
        <v>333</v>
      </c>
      <c r="D247" s="90" t="s">
        <v>170</v>
      </c>
      <c r="E247" s="90" t="s">
        <v>723</v>
      </c>
      <c r="F247" s="90" t="s">
        <v>723</v>
      </c>
    </row>
    <row r="248" spans="2:6" ht="26.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1139</v>
      </c>
      <c r="D253" s="90" t="s">
        <v>1192</v>
      </c>
      <c r="E253" s="90" t="s">
        <v>1157</v>
      </c>
      <c r="F253" s="90" t="s">
        <v>1157</v>
      </c>
    </row>
    <row r="254" spans="2:6">
      <c r="B254" s="88">
        <v>340</v>
      </c>
      <c r="C254" s="89" t="s">
        <v>1139</v>
      </c>
      <c r="D254" s="90" t="s">
        <v>1194</v>
      </c>
      <c r="E254" s="90" t="s">
        <v>1158</v>
      </c>
      <c r="F254" s="90" t="s">
        <v>1158</v>
      </c>
    </row>
    <row r="255" spans="2:6">
      <c r="B255" s="88">
        <v>341</v>
      </c>
      <c r="D255" s="90" t="s">
        <v>176</v>
      </c>
      <c r="E255" s="90" t="s">
        <v>729</v>
      </c>
      <c r="F255" s="90" t="s">
        <v>729</v>
      </c>
    </row>
    <row r="256" spans="2:6" ht="26.4">
      <c r="B256" s="88">
        <v>342</v>
      </c>
      <c r="C256" s="89" t="s">
        <v>1139</v>
      </c>
      <c r="D256" s="90" t="s">
        <v>1204</v>
      </c>
      <c r="E256" s="90" t="s">
        <v>1166</v>
      </c>
      <c r="F256" s="90" t="s">
        <v>1166</v>
      </c>
    </row>
    <row r="257" spans="2:6">
      <c r="B257" s="88">
        <v>343</v>
      </c>
      <c r="D257" s="90" t="s">
        <v>455</v>
      </c>
      <c r="E257" s="90" t="s">
        <v>730</v>
      </c>
      <c r="F257" s="90" t="s">
        <v>730</v>
      </c>
    </row>
    <row r="258" spans="2:6">
      <c r="B258" s="88">
        <v>344</v>
      </c>
      <c r="D258" s="90" t="s">
        <v>177</v>
      </c>
      <c r="E258" s="90" t="s">
        <v>731</v>
      </c>
      <c r="F258" s="90" t="s">
        <v>731</v>
      </c>
    </row>
    <row r="259" spans="2:6">
      <c r="B259" s="88">
        <v>345</v>
      </c>
      <c r="D259" s="90" t="s">
        <v>456</v>
      </c>
      <c r="E259" s="90" t="s">
        <v>732</v>
      </c>
      <c r="F259" s="90" t="s">
        <v>732</v>
      </c>
    </row>
    <row r="260" spans="2:6">
      <c r="B260" s="88">
        <v>346</v>
      </c>
      <c r="C260" s="89" t="s">
        <v>1139</v>
      </c>
      <c r="D260" s="90" t="s">
        <v>1193</v>
      </c>
      <c r="E260" s="90" t="s">
        <v>1168</v>
      </c>
      <c r="F260" s="90" t="s">
        <v>1168</v>
      </c>
    </row>
    <row r="261" spans="2:6">
      <c r="B261" s="88">
        <v>347</v>
      </c>
      <c r="C261" s="89" t="s">
        <v>579</v>
      </c>
      <c r="D261" s="87" t="s">
        <v>952</v>
      </c>
      <c r="E261" s="179" t="s">
        <v>953</v>
      </c>
      <c r="F261" s="179" t="s">
        <v>953</v>
      </c>
    </row>
    <row r="262" spans="2:6" ht="26.4">
      <c r="B262" s="88">
        <v>348</v>
      </c>
      <c r="C262" s="89" t="s">
        <v>1139</v>
      </c>
      <c r="D262" s="90" t="s">
        <v>1186</v>
      </c>
      <c r="E262" s="90" t="s">
        <v>1147</v>
      </c>
      <c r="F262" s="90" t="s">
        <v>1147</v>
      </c>
    </row>
    <row r="263" spans="2:6" ht="26.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1139</v>
      </c>
      <c r="D267" s="90" t="s">
        <v>1188</v>
      </c>
      <c r="E267" s="90" t="s">
        <v>1153</v>
      </c>
      <c r="F267" s="90" t="s">
        <v>1153</v>
      </c>
    </row>
    <row r="268" spans="2:6">
      <c r="B268" s="88">
        <v>354</v>
      </c>
      <c r="D268" s="90" t="s">
        <v>182</v>
      </c>
      <c r="E268" s="90" t="s">
        <v>736</v>
      </c>
      <c r="F268" s="90" t="s">
        <v>736</v>
      </c>
    </row>
    <row r="269" spans="2:6">
      <c r="B269" s="88">
        <v>355</v>
      </c>
      <c r="D269" s="90" t="s">
        <v>457</v>
      </c>
      <c r="E269" s="90" t="s">
        <v>737</v>
      </c>
      <c r="F269" s="90" t="s">
        <v>737</v>
      </c>
    </row>
    <row r="270" spans="2:6">
      <c r="B270" s="88">
        <v>356</v>
      </c>
      <c r="D270" s="90" t="s">
        <v>183</v>
      </c>
      <c r="E270" s="90" t="s">
        <v>738</v>
      </c>
      <c r="F270" s="90" t="s">
        <v>738</v>
      </c>
    </row>
    <row r="271" spans="2:6" ht="26.4">
      <c r="B271" s="88">
        <v>357</v>
      </c>
      <c r="C271" s="89" t="s">
        <v>1139</v>
      </c>
      <c r="D271" s="90" t="s">
        <v>1185</v>
      </c>
      <c r="E271" s="90" t="s">
        <v>1184</v>
      </c>
      <c r="F271" s="90" t="s">
        <v>1184</v>
      </c>
    </row>
    <row r="272" spans="2:6" ht="39.6">
      <c r="B272" s="88">
        <v>358</v>
      </c>
      <c r="C272" s="89" t="s">
        <v>1139</v>
      </c>
      <c r="D272" s="90" t="s">
        <v>1201</v>
      </c>
      <c r="E272" s="90" t="s">
        <v>1162</v>
      </c>
      <c r="F272" s="90" t="s">
        <v>1162</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1273</v>
      </c>
      <c r="E278" s="90" t="s">
        <v>1274</v>
      </c>
      <c r="F278" s="90" t="s">
        <v>1274</v>
      </c>
    </row>
    <row r="279" spans="2:6">
      <c r="B279" s="88">
        <v>365</v>
      </c>
      <c r="D279" s="90" t="s">
        <v>187</v>
      </c>
      <c r="E279" s="90" t="s">
        <v>515</v>
      </c>
      <c r="F279" s="90" t="s">
        <v>515</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458</v>
      </c>
      <c r="E282" s="90" t="s">
        <v>742</v>
      </c>
      <c r="F282" s="90" t="s">
        <v>742</v>
      </c>
    </row>
    <row r="283" spans="2:6">
      <c r="B283" s="88">
        <v>369</v>
      </c>
      <c r="D283" s="90" t="s">
        <v>459</v>
      </c>
      <c r="E283" s="90" t="s">
        <v>743</v>
      </c>
      <c r="F283" s="90" t="s">
        <v>743</v>
      </c>
    </row>
    <row r="284" spans="2:6">
      <c r="B284" s="88">
        <v>370</v>
      </c>
      <c r="D284" s="90" t="s">
        <v>460</v>
      </c>
      <c r="E284" s="90" t="s">
        <v>742</v>
      </c>
      <c r="F284" s="90" t="s">
        <v>742</v>
      </c>
    </row>
    <row r="285" spans="2:6">
      <c r="B285" s="88">
        <v>371</v>
      </c>
      <c r="C285" s="89" t="s">
        <v>1139</v>
      </c>
      <c r="D285" s="90" t="s">
        <v>1176</v>
      </c>
      <c r="E285" s="90" t="s">
        <v>1156</v>
      </c>
      <c r="F285" s="90" t="s">
        <v>1156</v>
      </c>
    </row>
    <row r="286" spans="2:6">
      <c r="B286" s="88">
        <v>372</v>
      </c>
      <c r="D286" s="90" t="s">
        <v>190</v>
      </c>
      <c r="E286" s="90" t="s">
        <v>744</v>
      </c>
      <c r="F286" s="90" t="s">
        <v>744</v>
      </c>
    </row>
    <row r="287" spans="2:6">
      <c r="B287" s="88">
        <v>373</v>
      </c>
      <c r="D287" s="90" t="s">
        <v>461</v>
      </c>
      <c r="E287" s="90" t="s">
        <v>745</v>
      </c>
      <c r="F287" s="90" t="s">
        <v>745</v>
      </c>
    </row>
    <row r="288" spans="2:6">
      <c r="B288" s="88">
        <v>374</v>
      </c>
      <c r="D288" s="90" t="s">
        <v>191</v>
      </c>
      <c r="E288" s="90" t="s">
        <v>746</v>
      </c>
      <c r="F288" s="90" t="s">
        <v>746</v>
      </c>
    </row>
    <row r="289" spans="2:6">
      <c r="B289" s="88">
        <v>375</v>
      </c>
      <c r="C289" s="89" t="s">
        <v>579</v>
      </c>
      <c r="D289" s="87" t="s">
        <v>980</v>
      </c>
      <c r="E289" s="179" t="s">
        <v>981</v>
      </c>
      <c r="F289" s="179" t="s">
        <v>981</v>
      </c>
    </row>
    <row r="290" spans="2:6">
      <c r="B290" s="88">
        <v>376</v>
      </c>
      <c r="D290" s="90" t="s">
        <v>490</v>
      </c>
      <c r="E290" s="90" t="s">
        <v>747</v>
      </c>
      <c r="F290" s="90" t="s">
        <v>747</v>
      </c>
    </row>
    <row r="291" spans="2:6">
      <c r="B291" s="88">
        <v>377</v>
      </c>
      <c r="D291" s="90" t="s">
        <v>491</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462</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529</v>
      </c>
      <c r="F297" s="90" t="s">
        <v>529</v>
      </c>
    </row>
    <row r="298" spans="2:6">
      <c r="B298" s="88">
        <v>384</v>
      </c>
      <c r="D298" s="90" t="s">
        <v>966</v>
      </c>
      <c r="E298" s="90" t="s">
        <v>967</v>
      </c>
      <c r="F298" s="90" t="s">
        <v>967</v>
      </c>
    </row>
    <row r="299" spans="2:6" ht="26.4">
      <c r="B299" s="88">
        <v>385</v>
      </c>
      <c r="D299" s="90" t="s">
        <v>196</v>
      </c>
      <c r="E299" s="90" t="s">
        <v>753</v>
      </c>
      <c r="F299" s="90" t="s">
        <v>753</v>
      </c>
    </row>
    <row r="300" spans="2:6">
      <c r="B300" s="88">
        <v>386</v>
      </c>
      <c r="D300" s="90" t="s">
        <v>1342</v>
      </c>
      <c r="E300" s="90" t="s">
        <v>1354</v>
      </c>
      <c r="F300" s="90" t="s">
        <v>1354</v>
      </c>
    </row>
    <row r="301" spans="2:6" ht="26.4">
      <c r="B301" s="88">
        <v>387</v>
      </c>
      <c r="D301" s="90" t="s">
        <v>492</v>
      </c>
      <c r="E301" s="90" t="s">
        <v>754</v>
      </c>
      <c r="F301" s="90" t="s">
        <v>754</v>
      </c>
    </row>
    <row r="302" spans="2:6">
      <c r="B302" s="88">
        <v>388</v>
      </c>
      <c r="D302" s="90" t="s">
        <v>493</v>
      </c>
      <c r="E302" s="90" t="s">
        <v>755</v>
      </c>
      <c r="F302" s="90" t="s">
        <v>755</v>
      </c>
    </row>
    <row r="303" spans="2:6">
      <c r="B303" s="88">
        <v>389</v>
      </c>
      <c r="D303" s="90" t="s">
        <v>463</v>
      </c>
      <c r="E303" s="90" t="s">
        <v>756</v>
      </c>
      <c r="F303" s="90" t="s">
        <v>756</v>
      </c>
    </row>
    <row r="304" spans="2:6">
      <c r="B304" s="88">
        <v>390</v>
      </c>
      <c r="D304" s="90" t="s">
        <v>197</v>
      </c>
      <c r="E304" s="90" t="s">
        <v>757</v>
      </c>
      <c r="F304" s="90" t="s">
        <v>757</v>
      </c>
    </row>
    <row r="305" spans="2:6">
      <c r="B305" s="88">
        <v>391</v>
      </c>
      <c r="D305" s="90" t="s">
        <v>464</v>
      </c>
      <c r="E305" s="90" t="s">
        <v>758</v>
      </c>
      <c r="F305" s="90" t="s">
        <v>758</v>
      </c>
    </row>
    <row r="306" spans="2:6">
      <c r="B306" s="88">
        <v>392</v>
      </c>
      <c r="D306" s="90" t="s">
        <v>465</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466</v>
      </c>
      <c r="E309" s="90" t="s">
        <v>762</v>
      </c>
      <c r="F309" s="90" t="s">
        <v>762</v>
      </c>
    </row>
    <row r="310" spans="2:6">
      <c r="B310" s="88">
        <v>396</v>
      </c>
      <c r="D310" s="90" t="s">
        <v>200</v>
      </c>
      <c r="E310" s="90" t="s">
        <v>763</v>
      </c>
      <c r="F310" s="90" t="s">
        <v>763</v>
      </c>
    </row>
    <row r="311" spans="2:6">
      <c r="B311" s="88">
        <v>397</v>
      </c>
      <c r="C311" s="89" t="s">
        <v>507</v>
      </c>
      <c r="D311" s="90" t="s">
        <v>516</v>
      </c>
      <c r="E311" s="90" t="s">
        <v>517</v>
      </c>
      <c r="F311" s="90" t="s">
        <v>517</v>
      </c>
    </row>
    <row r="312" spans="2:6">
      <c r="B312" s="88">
        <v>398</v>
      </c>
      <c r="C312" s="89" t="s">
        <v>579</v>
      </c>
      <c r="D312" s="87" t="s">
        <v>578</v>
      </c>
      <c r="E312" s="179" t="s">
        <v>951</v>
      </c>
      <c r="F312" s="179"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179" t="s">
        <v>566</v>
      </c>
      <c r="F317" s="179" t="s">
        <v>566</v>
      </c>
    </row>
    <row r="318" spans="2:6">
      <c r="B318" s="88">
        <v>404</v>
      </c>
      <c r="D318" s="90" t="s">
        <v>205</v>
      </c>
      <c r="E318" s="90" t="s">
        <v>768</v>
      </c>
      <c r="F318" s="90" t="s">
        <v>768</v>
      </c>
    </row>
    <row r="319" spans="2:6">
      <c r="B319" s="88">
        <v>405</v>
      </c>
      <c r="C319" s="89" t="s">
        <v>579</v>
      </c>
      <c r="D319" s="90" t="s">
        <v>573</v>
      </c>
      <c r="E319" s="179" t="s">
        <v>564</v>
      </c>
      <c r="F319" s="179" t="s">
        <v>564</v>
      </c>
    </row>
    <row r="320" spans="2:6">
      <c r="B320" s="88">
        <v>406</v>
      </c>
      <c r="D320" s="90" t="s">
        <v>206</v>
      </c>
      <c r="E320" s="90" t="s">
        <v>769</v>
      </c>
      <c r="F320" s="90" t="s">
        <v>769</v>
      </c>
    </row>
    <row r="321" spans="1:6" ht="39.6">
      <c r="B321" s="88">
        <v>407</v>
      </c>
      <c r="D321" s="90" t="s">
        <v>207</v>
      </c>
      <c r="E321" s="90" t="s">
        <v>770</v>
      </c>
      <c r="F321" s="90" t="s">
        <v>770</v>
      </c>
    </row>
    <row r="322" spans="1:6">
      <c r="B322" s="88">
        <v>408</v>
      </c>
      <c r="D322" s="90" t="s">
        <v>208</v>
      </c>
      <c r="E322" s="90" t="s">
        <v>771</v>
      </c>
      <c r="F322" s="90" t="s">
        <v>771</v>
      </c>
    </row>
    <row r="323" spans="1:6">
      <c r="B323" s="88">
        <v>409</v>
      </c>
      <c r="D323" s="90" t="s">
        <v>1040</v>
      </c>
      <c r="E323" s="90" t="s">
        <v>1041</v>
      </c>
      <c r="F323" s="90" t="s">
        <v>1041</v>
      </c>
    </row>
    <row r="324" spans="1:6" ht="26.4">
      <c r="B324" s="88">
        <v>410</v>
      </c>
      <c r="D324" s="90" t="s">
        <v>209</v>
      </c>
      <c r="E324" s="90" t="s">
        <v>772</v>
      </c>
      <c r="F324" s="90" t="s">
        <v>772</v>
      </c>
    </row>
    <row r="325" spans="1:6">
      <c r="B325" s="88">
        <v>411</v>
      </c>
      <c r="D325" s="90" t="s">
        <v>1048</v>
      </c>
      <c r="E325" s="90" t="s">
        <v>1049</v>
      </c>
      <c r="F325" s="90" t="s">
        <v>1049</v>
      </c>
    </row>
    <row r="326" spans="1:6">
      <c r="B326" s="88">
        <v>412</v>
      </c>
      <c r="D326" s="90" t="s">
        <v>1038</v>
      </c>
      <c r="E326" s="90" t="s">
        <v>1039</v>
      </c>
      <c r="F326" s="90" t="s">
        <v>1039</v>
      </c>
    </row>
    <row r="327" spans="1:6">
      <c r="A327" s="176"/>
      <c r="B327" s="88">
        <v>413</v>
      </c>
      <c r="C327" s="177" t="s">
        <v>489</v>
      </c>
      <c r="D327" s="175" t="s">
        <v>518</v>
      </c>
      <c r="E327" s="175" t="s">
        <v>532</v>
      </c>
      <c r="F327" s="175" t="s">
        <v>532</v>
      </c>
    </row>
    <row r="328" spans="1:6">
      <c r="A328" s="176"/>
      <c r="B328" s="88">
        <v>414</v>
      </c>
      <c r="C328" s="177" t="s">
        <v>489</v>
      </c>
      <c r="D328" s="175" t="s">
        <v>519</v>
      </c>
      <c r="E328" s="175" t="s">
        <v>773</v>
      </c>
      <c r="F328" s="175" t="s">
        <v>773</v>
      </c>
    </row>
    <row r="329" spans="1:6">
      <c r="A329" s="176"/>
      <c r="B329" s="88">
        <v>415</v>
      </c>
      <c r="C329" s="177" t="s">
        <v>489</v>
      </c>
      <c r="D329" s="175" t="s">
        <v>520</v>
      </c>
      <c r="E329" s="175" t="s">
        <v>774</v>
      </c>
      <c r="F329" s="175" t="s">
        <v>774</v>
      </c>
    </row>
    <row r="330" spans="1:6">
      <c r="B330" s="88">
        <v>416</v>
      </c>
      <c r="D330" s="90" t="s">
        <v>210</v>
      </c>
      <c r="E330" s="90" t="s">
        <v>532</v>
      </c>
      <c r="F330" s="90" t="s">
        <v>532</v>
      </c>
    </row>
    <row r="331" spans="1:6">
      <c r="B331" s="88">
        <v>417</v>
      </c>
      <c r="D331" s="90" t="s">
        <v>211</v>
      </c>
      <c r="E331" s="175" t="s">
        <v>775</v>
      </c>
      <c r="F331" s="175"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1053</v>
      </c>
      <c r="E344" s="90" t="s">
        <v>1054</v>
      </c>
      <c r="F344" s="90" t="s">
        <v>1054</v>
      </c>
    </row>
    <row r="345" spans="2:6">
      <c r="B345" s="88">
        <v>431</v>
      </c>
      <c r="D345" s="90" t="s">
        <v>1051</v>
      </c>
      <c r="E345" s="90" t="s">
        <v>1052</v>
      </c>
      <c r="F345" s="90" t="s">
        <v>1052</v>
      </c>
    </row>
    <row r="346" spans="2:6">
      <c r="B346" s="88">
        <v>432</v>
      </c>
      <c r="D346" s="90" t="s">
        <v>224</v>
      </c>
      <c r="E346" s="90" t="s">
        <v>1009</v>
      </c>
      <c r="F346" s="90" t="s">
        <v>1009</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1032</v>
      </c>
      <c r="F350" s="90" t="s">
        <v>1032</v>
      </c>
    </row>
    <row r="351" spans="2:6">
      <c r="B351" s="88">
        <v>437</v>
      </c>
      <c r="D351" s="90" t="s">
        <v>229</v>
      </c>
      <c r="E351" s="90" t="s">
        <v>1033</v>
      </c>
      <c r="F351" s="90" t="s">
        <v>1033</v>
      </c>
    </row>
    <row r="352" spans="2:6">
      <c r="B352" s="88">
        <v>438</v>
      </c>
      <c r="D352" s="90" t="s">
        <v>1055</v>
      </c>
      <c r="E352" s="90" t="s">
        <v>1056</v>
      </c>
      <c r="F352" s="90" t="s">
        <v>1056</v>
      </c>
    </row>
    <row r="353" spans="2:6">
      <c r="B353" s="88">
        <v>439</v>
      </c>
      <c r="D353" s="90" t="s">
        <v>1028</v>
      </c>
      <c r="E353" s="90" t="s">
        <v>1029</v>
      </c>
      <c r="F353" s="90" t="s">
        <v>1029</v>
      </c>
    </row>
    <row r="354" spans="2:6">
      <c r="B354" s="88">
        <v>440</v>
      </c>
      <c r="D354" s="90" t="s">
        <v>467</v>
      </c>
      <c r="E354" s="90" t="s">
        <v>467</v>
      </c>
      <c r="F354" s="90" t="s">
        <v>467</v>
      </c>
    </row>
    <row r="355" spans="2:6" ht="26.4">
      <c r="B355" s="88">
        <v>441</v>
      </c>
      <c r="C355" s="89" t="s">
        <v>1139</v>
      </c>
      <c r="D355" s="90" t="s">
        <v>1200</v>
      </c>
      <c r="E355" s="90" t="s">
        <v>1199</v>
      </c>
      <c r="F355" s="90" t="s">
        <v>1199</v>
      </c>
    </row>
    <row r="356" spans="2:6">
      <c r="B356" s="88">
        <v>442</v>
      </c>
      <c r="D356" s="90" t="s">
        <v>1253</v>
      </c>
      <c r="E356" s="90" t="s">
        <v>1258</v>
      </c>
      <c r="F356" s="90" t="s">
        <v>1258</v>
      </c>
    </row>
    <row r="357" spans="2:6">
      <c r="B357" s="88">
        <v>443</v>
      </c>
      <c r="C357" s="89" t="s">
        <v>579</v>
      </c>
      <c r="D357" s="90" t="s">
        <v>962</v>
      </c>
      <c r="E357" s="90" t="s">
        <v>964</v>
      </c>
      <c r="F357" s="90" t="s">
        <v>964</v>
      </c>
    </row>
    <row r="358" spans="2:6">
      <c r="B358" s="88">
        <v>444</v>
      </c>
      <c r="D358" s="90" t="s">
        <v>230</v>
      </c>
      <c r="E358" s="90" t="s">
        <v>1010</v>
      </c>
      <c r="F358" s="90" t="s">
        <v>1010</v>
      </c>
    </row>
    <row r="359" spans="2:6" ht="26.4">
      <c r="B359" s="88">
        <v>445</v>
      </c>
      <c r="D359" s="90" t="s">
        <v>231</v>
      </c>
      <c r="E359" s="90" t="s">
        <v>791</v>
      </c>
      <c r="F359" s="90" t="s">
        <v>791</v>
      </c>
    </row>
    <row r="360" spans="2:6">
      <c r="B360" s="88">
        <v>446</v>
      </c>
      <c r="D360" s="90" t="s">
        <v>232</v>
      </c>
      <c r="E360" s="90" t="s">
        <v>792</v>
      </c>
      <c r="F360" s="90" t="s">
        <v>792</v>
      </c>
    </row>
    <row r="361" spans="2:6">
      <c r="B361" s="88">
        <v>447</v>
      </c>
      <c r="D361" s="90" t="s">
        <v>1266</v>
      </c>
      <c r="E361" s="90" t="s">
        <v>1263</v>
      </c>
      <c r="F361" s="90" t="s">
        <v>1263</v>
      </c>
    </row>
    <row r="362" spans="2:6" ht="26.4">
      <c r="B362" s="88">
        <v>448</v>
      </c>
      <c r="D362" s="90" t="s">
        <v>233</v>
      </c>
      <c r="E362" s="90" t="s">
        <v>793</v>
      </c>
      <c r="F362" s="90" t="s">
        <v>793</v>
      </c>
    </row>
    <row r="363" spans="2:6">
      <c r="B363" s="88">
        <v>449</v>
      </c>
      <c r="D363" s="175" t="s">
        <v>521</v>
      </c>
      <c r="E363" s="90" t="s">
        <v>522</v>
      </c>
      <c r="F363" s="90" t="s">
        <v>522</v>
      </c>
    </row>
    <row r="364" spans="2:6">
      <c r="B364" s="88">
        <v>450</v>
      </c>
      <c r="D364" s="90" t="s">
        <v>468</v>
      </c>
      <c r="E364" s="90" t="s">
        <v>794</v>
      </c>
      <c r="F364" s="90" t="s">
        <v>794</v>
      </c>
    </row>
    <row r="365" spans="2:6">
      <c r="B365" s="88">
        <v>451</v>
      </c>
      <c r="D365" s="90" t="s">
        <v>234</v>
      </c>
      <c r="E365" s="90" t="s">
        <v>795</v>
      </c>
      <c r="F365" s="90" t="s">
        <v>795</v>
      </c>
    </row>
    <row r="366" spans="2:6">
      <c r="B366" s="88">
        <v>452</v>
      </c>
      <c r="D366" s="90" t="s">
        <v>469</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1139</v>
      </c>
      <c r="D369" s="90" t="s">
        <v>1190</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1351</v>
      </c>
      <c r="E372" s="90" t="s">
        <v>1350</v>
      </c>
      <c r="F372" s="90" t="s">
        <v>1350</v>
      </c>
    </row>
    <row r="373" spans="2:6">
      <c r="B373" s="88">
        <v>459</v>
      </c>
      <c r="D373" s="90" t="s">
        <v>239</v>
      </c>
      <c r="E373" s="90" t="s">
        <v>799</v>
      </c>
      <c r="F373" s="90" t="s">
        <v>799</v>
      </c>
    </row>
    <row r="374" spans="2:6">
      <c r="B374" s="88">
        <v>460</v>
      </c>
      <c r="D374" s="90" t="s">
        <v>240</v>
      </c>
      <c r="F374" s="90"/>
    </row>
    <row r="375" spans="2:6">
      <c r="B375" s="88">
        <v>461</v>
      </c>
      <c r="D375" s="90" t="s">
        <v>470</v>
      </c>
      <c r="E375" s="90" t="s">
        <v>800</v>
      </c>
      <c r="F375" s="90" t="s">
        <v>800</v>
      </c>
    </row>
    <row r="376" spans="2:6" ht="26.4">
      <c r="B376" s="88">
        <v>462</v>
      </c>
      <c r="D376" s="90" t="s">
        <v>1334</v>
      </c>
      <c r="E376" s="90" t="s">
        <v>801</v>
      </c>
      <c r="F376" s="90" t="s">
        <v>801</v>
      </c>
    </row>
    <row r="377" spans="2:6" ht="26.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1139</v>
      </c>
      <c r="D380" s="90" t="s">
        <v>1183</v>
      </c>
      <c r="E380" s="90" t="s">
        <v>1146</v>
      </c>
      <c r="F380" s="90" t="s">
        <v>1146</v>
      </c>
    </row>
    <row r="381" spans="2:6">
      <c r="B381" s="88">
        <v>467</v>
      </c>
      <c r="C381" s="89" t="s">
        <v>1139</v>
      </c>
      <c r="D381" s="90" t="s">
        <v>1187</v>
      </c>
      <c r="E381" s="90" t="s">
        <v>1152</v>
      </c>
      <c r="F381" s="90" t="s">
        <v>1152</v>
      </c>
    </row>
    <row r="382" spans="2:6">
      <c r="B382" s="88">
        <v>468</v>
      </c>
      <c r="D382" s="90" t="s">
        <v>244</v>
      </c>
      <c r="E382" s="90" t="s">
        <v>805</v>
      </c>
      <c r="F382" s="90" t="s">
        <v>805</v>
      </c>
    </row>
    <row r="383" spans="2:6">
      <c r="B383" s="88">
        <v>469</v>
      </c>
      <c r="C383" s="89" t="s">
        <v>1139</v>
      </c>
      <c r="D383" s="90" t="s">
        <v>1179</v>
      </c>
      <c r="E383" s="90" t="s">
        <v>1142</v>
      </c>
      <c r="F383" s="90" t="s">
        <v>1142</v>
      </c>
    </row>
    <row r="384" spans="2:6" ht="26.4">
      <c r="B384" s="88">
        <v>470</v>
      </c>
      <c r="C384" s="89" t="s">
        <v>1139</v>
      </c>
      <c r="D384" s="90" t="s">
        <v>1181</v>
      </c>
      <c r="E384" s="90" t="s">
        <v>1145</v>
      </c>
      <c r="F384" s="90" t="s">
        <v>1145</v>
      </c>
    </row>
    <row r="385" spans="2:6">
      <c r="B385" s="88">
        <v>471</v>
      </c>
      <c r="C385" s="89" t="s">
        <v>1139</v>
      </c>
      <c r="D385" s="90" t="s">
        <v>1182</v>
      </c>
      <c r="E385" s="90" t="s">
        <v>1144</v>
      </c>
      <c r="F385" s="90" t="s">
        <v>1144</v>
      </c>
    </row>
    <row r="386" spans="2:6">
      <c r="B386" s="88">
        <v>472</v>
      </c>
      <c r="D386" s="90" t="s">
        <v>245</v>
      </c>
      <c r="E386" s="90" t="s">
        <v>806</v>
      </c>
      <c r="F386" s="90" t="s">
        <v>806</v>
      </c>
    </row>
    <row r="387" spans="2:6">
      <c r="B387" s="88">
        <v>473</v>
      </c>
      <c r="D387" s="90" t="s">
        <v>246</v>
      </c>
      <c r="E387" s="90" t="s">
        <v>807</v>
      </c>
      <c r="F387" s="90" t="s">
        <v>807</v>
      </c>
    </row>
    <row r="388" spans="2:6" ht="39.6">
      <c r="B388" s="88">
        <v>474</v>
      </c>
      <c r="C388" s="89" t="s">
        <v>1139</v>
      </c>
      <c r="D388" s="90" t="s">
        <v>1202</v>
      </c>
      <c r="E388" s="90" t="s">
        <v>1163</v>
      </c>
      <c r="F388" s="90" t="s">
        <v>1163</v>
      </c>
    </row>
    <row r="389" spans="2:6">
      <c r="B389" s="88">
        <v>475</v>
      </c>
      <c r="D389" s="90" t="s">
        <v>247</v>
      </c>
      <c r="E389" s="90" t="s">
        <v>808</v>
      </c>
      <c r="F389" s="90" t="s">
        <v>808</v>
      </c>
    </row>
    <row r="390" spans="2:6">
      <c r="B390" s="88">
        <v>476</v>
      </c>
      <c r="D390" s="90" t="s">
        <v>1359</v>
      </c>
      <c r="E390" s="90" t="s">
        <v>1360</v>
      </c>
      <c r="F390" s="90" t="s">
        <v>1360</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6.4">
      <c r="B395" s="88">
        <v>481</v>
      </c>
      <c r="D395" s="90" t="s">
        <v>252</v>
      </c>
      <c r="E395" s="90" t="s">
        <v>812</v>
      </c>
      <c r="F395" s="90" t="s">
        <v>812</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1139</v>
      </c>
      <c r="D406" s="90" t="s">
        <v>1411</v>
      </c>
      <c r="E406" s="90" t="s">
        <v>1151</v>
      </c>
      <c r="F406" s="90" t="s">
        <v>1151</v>
      </c>
    </row>
    <row r="407" spans="2:6">
      <c r="B407" s="88">
        <v>493</v>
      </c>
      <c r="D407" s="90" t="s">
        <v>257</v>
      </c>
      <c r="E407" s="90" t="s">
        <v>816</v>
      </c>
      <c r="F407" s="90" t="s">
        <v>816</v>
      </c>
    </row>
    <row r="408" spans="2:6" ht="52.8">
      <c r="B408" s="88">
        <v>494</v>
      </c>
      <c r="D408" s="90" t="s">
        <v>258</v>
      </c>
      <c r="E408" s="90" t="s">
        <v>817</v>
      </c>
      <c r="F408" s="90" t="s">
        <v>817</v>
      </c>
    </row>
    <row r="409" spans="2:6">
      <c r="B409" s="88">
        <v>495</v>
      </c>
      <c r="D409" s="90" t="s">
        <v>259</v>
      </c>
      <c r="E409" s="90" t="s">
        <v>818</v>
      </c>
      <c r="F409" s="90" t="s">
        <v>818</v>
      </c>
    </row>
    <row r="410" spans="2:6" ht="26.4">
      <c r="B410" s="88">
        <v>496</v>
      </c>
      <c r="D410" s="90" t="s">
        <v>260</v>
      </c>
      <c r="E410" s="90" t="s">
        <v>819</v>
      </c>
      <c r="F410" s="90" t="s">
        <v>819</v>
      </c>
    </row>
    <row r="411" spans="2:6" ht="26.4">
      <c r="B411" s="88">
        <v>497</v>
      </c>
      <c r="D411" s="90" t="s">
        <v>261</v>
      </c>
      <c r="E411" s="90" t="s">
        <v>820</v>
      </c>
      <c r="F411" s="90" t="s">
        <v>820</v>
      </c>
    </row>
    <row r="412" spans="2:6" ht="26.4">
      <c r="B412" s="88">
        <v>498</v>
      </c>
      <c r="D412" s="90" t="s">
        <v>262</v>
      </c>
      <c r="E412" s="90" t="s">
        <v>821</v>
      </c>
      <c r="F412" s="90" t="s">
        <v>821</v>
      </c>
    </row>
    <row r="413" spans="2:6" ht="26.4">
      <c r="B413" s="88">
        <v>499</v>
      </c>
      <c r="D413" s="90" t="s">
        <v>263</v>
      </c>
      <c r="E413" s="90" t="s">
        <v>822</v>
      </c>
      <c r="F413" s="90" t="s">
        <v>822</v>
      </c>
    </row>
    <row r="414" spans="2:6" ht="26.4">
      <c r="B414" s="88">
        <v>500</v>
      </c>
      <c r="D414" s="90" t="s">
        <v>264</v>
      </c>
      <c r="E414" s="90" t="s">
        <v>823</v>
      </c>
      <c r="F414" s="90" t="s">
        <v>823</v>
      </c>
    </row>
    <row r="415" spans="2:6" ht="26.4">
      <c r="B415" s="88">
        <v>501</v>
      </c>
      <c r="D415" s="90" t="s">
        <v>265</v>
      </c>
      <c r="E415" s="90" t="s">
        <v>824</v>
      </c>
      <c r="F415" s="90" t="s">
        <v>824</v>
      </c>
    </row>
    <row r="416" spans="2:6" ht="26.4">
      <c r="B416" s="88">
        <v>502</v>
      </c>
      <c r="D416" s="90" t="s">
        <v>266</v>
      </c>
      <c r="E416" s="90" t="s">
        <v>825</v>
      </c>
      <c r="F416" s="90" t="s">
        <v>825</v>
      </c>
    </row>
    <row r="417" spans="2:6" ht="26.4">
      <c r="B417" s="88">
        <v>503</v>
      </c>
      <c r="D417" s="90" t="s">
        <v>267</v>
      </c>
      <c r="E417" s="90" t="s">
        <v>826</v>
      </c>
      <c r="F417" s="90" t="s">
        <v>826</v>
      </c>
    </row>
    <row r="418" spans="2:6" ht="26.4">
      <c r="B418" s="88">
        <v>504</v>
      </c>
      <c r="D418" s="90" t="s">
        <v>268</v>
      </c>
      <c r="E418" s="90" t="s">
        <v>827</v>
      </c>
      <c r="F418" s="90" t="s">
        <v>827</v>
      </c>
    </row>
    <row r="419" spans="2:6" ht="26.4">
      <c r="B419" s="88">
        <v>505</v>
      </c>
      <c r="D419" s="90" t="s">
        <v>269</v>
      </c>
      <c r="E419" s="90" t="s">
        <v>828</v>
      </c>
      <c r="F419" s="90" t="s">
        <v>828</v>
      </c>
    </row>
    <row r="420" spans="2:6" ht="26.4">
      <c r="B420" s="88">
        <v>506</v>
      </c>
      <c r="D420" s="90" t="s">
        <v>270</v>
      </c>
      <c r="E420" s="90" t="s">
        <v>829</v>
      </c>
      <c r="F420" s="90" t="s">
        <v>829</v>
      </c>
    </row>
    <row r="421" spans="2:6" ht="26.4">
      <c r="B421" s="88">
        <v>507</v>
      </c>
      <c r="D421" s="90" t="s">
        <v>271</v>
      </c>
      <c r="E421" s="90" t="s">
        <v>830</v>
      </c>
      <c r="F421" s="90" t="s">
        <v>830</v>
      </c>
    </row>
    <row r="422" spans="2:6" ht="26.4">
      <c r="B422" s="88">
        <v>508</v>
      </c>
      <c r="D422" s="90" t="s">
        <v>272</v>
      </c>
      <c r="E422" s="90" t="s">
        <v>831</v>
      </c>
      <c r="F422" s="90" t="s">
        <v>831</v>
      </c>
    </row>
    <row r="423" spans="2:6" ht="26.4">
      <c r="B423" s="88">
        <v>509</v>
      </c>
      <c r="D423" s="90" t="s">
        <v>273</v>
      </c>
      <c r="E423" s="90" t="s">
        <v>832</v>
      </c>
      <c r="F423" s="90" t="s">
        <v>832</v>
      </c>
    </row>
    <row r="424" spans="2:6" ht="26.4">
      <c r="B424" s="88">
        <v>510</v>
      </c>
      <c r="D424" s="90" t="s">
        <v>274</v>
      </c>
      <c r="E424" s="90" t="s">
        <v>833</v>
      </c>
      <c r="F424" s="90" t="s">
        <v>833</v>
      </c>
    </row>
    <row r="425" spans="2:6" ht="26.4">
      <c r="B425" s="88">
        <v>511</v>
      </c>
      <c r="D425" s="90" t="s">
        <v>275</v>
      </c>
      <c r="E425" s="90" t="s">
        <v>834</v>
      </c>
      <c r="F425" s="90" t="s">
        <v>834</v>
      </c>
    </row>
    <row r="426" spans="2:6" ht="26.4">
      <c r="B426" s="88">
        <v>512</v>
      </c>
      <c r="D426" s="90" t="s">
        <v>276</v>
      </c>
      <c r="E426" s="90" t="s">
        <v>835</v>
      </c>
      <c r="F426" s="90" t="s">
        <v>835</v>
      </c>
    </row>
    <row r="427" spans="2:6" ht="26.4">
      <c r="B427" s="88">
        <v>513</v>
      </c>
      <c r="D427" s="90" t="s">
        <v>277</v>
      </c>
      <c r="E427" s="90" t="s">
        <v>836</v>
      </c>
      <c r="F427" s="90" t="s">
        <v>836</v>
      </c>
    </row>
    <row r="428" spans="2:6" ht="26.4">
      <c r="B428" s="88">
        <v>514</v>
      </c>
      <c r="D428" s="90" t="s">
        <v>278</v>
      </c>
      <c r="E428" s="90" t="s">
        <v>837</v>
      </c>
      <c r="F428" s="90" t="s">
        <v>837</v>
      </c>
    </row>
    <row r="429" spans="2:6" ht="26.4">
      <c r="B429" s="88">
        <v>515</v>
      </c>
      <c r="D429" s="90" t="s">
        <v>279</v>
      </c>
      <c r="E429" s="90" t="s">
        <v>838</v>
      </c>
      <c r="F429" s="90" t="s">
        <v>838</v>
      </c>
    </row>
    <row r="430" spans="2:6" ht="26.4">
      <c r="B430" s="88">
        <v>516</v>
      </c>
      <c r="D430" s="90" t="s">
        <v>280</v>
      </c>
      <c r="E430" s="90" t="s">
        <v>839</v>
      </c>
      <c r="F430" s="90" t="s">
        <v>839</v>
      </c>
    </row>
    <row r="431" spans="2:6" ht="26.4">
      <c r="B431" s="88">
        <v>517</v>
      </c>
      <c r="D431" s="90" t="s">
        <v>471</v>
      </c>
      <c r="E431" s="90" t="s">
        <v>840</v>
      </c>
      <c r="F431" s="90" t="s">
        <v>840</v>
      </c>
    </row>
    <row r="432" spans="2:6" ht="26.4">
      <c r="B432" s="88">
        <v>518</v>
      </c>
      <c r="D432" s="90" t="s">
        <v>472</v>
      </c>
      <c r="E432" s="90" t="s">
        <v>840</v>
      </c>
      <c r="F432" s="90" t="s">
        <v>840</v>
      </c>
    </row>
    <row r="433" spans="1:27" ht="26.4">
      <c r="B433" s="88">
        <v>519</v>
      </c>
      <c r="D433" s="90" t="s">
        <v>281</v>
      </c>
      <c r="E433" s="90" t="s">
        <v>841</v>
      </c>
      <c r="F433" s="90" t="s">
        <v>841</v>
      </c>
    </row>
    <row r="434" spans="1:27" ht="26.4">
      <c r="B434" s="88">
        <v>520</v>
      </c>
      <c r="D434" s="90" t="s">
        <v>282</v>
      </c>
      <c r="E434" s="90" t="s">
        <v>842</v>
      </c>
      <c r="F434" s="90" t="s">
        <v>842</v>
      </c>
    </row>
    <row r="435" spans="1:27" ht="26.4">
      <c r="B435" s="88">
        <v>521</v>
      </c>
      <c r="D435" s="90" t="s">
        <v>283</v>
      </c>
      <c r="E435" s="90" t="s">
        <v>843</v>
      </c>
      <c r="F435" s="90" t="s">
        <v>843</v>
      </c>
    </row>
    <row r="436" spans="1:27" ht="26.4">
      <c r="B436" s="88">
        <v>522</v>
      </c>
      <c r="D436" s="90" t="s">
        <v>284</v>
      </c>
      <c r="E436" s="90" t="s">
        <v>844</v>
      </c>
      <c r="F436" s="90" t="s">
        <v>844</v>
      </c>
    </row>
    <row r="437" spans="1:27" ht="26.4">
      <c r="B437" s="88">
        <v>523</v>
      </c>
      <c r="D437" s="90" t="s">
        <v>473</v>
      </c>
      <c r="E437" s="90" t="s">
        <v>845</v>
      </c>
      <c r="F437" s="90" t="s">
        <v>845</v>
      </c>
    </row>
    <row r="438" spans="1:27" s="175" customFormat="1" ht="26.4">
      <c r="A438" s="87"/>
      <c r="B438" s="88">
        <v>524</v>
      </c>
      <c r="C438" s="89"/>
      <c r="D438" s="90" t="s">
        <v>474</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6.4">
      <c r="B453" s="88">
        <v>539</v>
      </c>
      <c r="D453" s="90" t="s">
        <v>475</v>
      </c>
      <c r="E453" s="90" t="s">
        <v>861</v>
      </c>
      <c r="F453" s="90" t="s">
        <v>861</v>
      </c>
    </row>
    <row r="454" spans="1:27" ht="52.8">
      <c r="A454" s="175"/>
      <c r="B454" s="88">
        <v>540</v>
      </c>
      <c r="C454" s="181" t="s">
        <v>507</v>
      </c>
      <c r="D454" s="175" t="s">
        <v>523</v>
      </c>
      <c r="E454" s="175" t="s">
        <v>862</v>
      </c>
      <c r="F454" s="175" t="s">
        <v>862</v>
      </c>
    </row>
    <row r="455" spans="1:27" ht="52.8">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6.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6.4">
      <c r="B463" s="88">
        <v>549</v>
      </c>
      <c r="D463" s="90" t="s">
        <v>1267</v>
      </c>
      <c r="E463" s="90" t="s">
        <v>1268</v>
      </c>
      <c r="F463" s="90" t="s">
        <v>1268</v>
      </c>
    </row>
    <row r="464" spans="1:27">
      <c r="B464" s="88">
        <v>550</v>
      </c>
      <c r="D464" s="90" t="s">
        <v>1269</v>
      </c>
      <c r="E464" s="90" t="s">
        <v>1270</v>
      </c>
      <c r="F464" s="90" t="s">
        <v>1270</v>
      </c>
    </row>
    <row r="465" spans="2:6" ht="26.4">
      <c r="B465" s="88">
        <v>551</v>
      </c>
      <c r="D465" s="90" t="s">
        <v>306</v>
      </c>
      <c r="E465" s="90" t="s">
        <v>870</v>
      </c>
      <c r="F465" s="90" t="s">
        <v>870</v>
      </c>
    </row>
    <row r="466" spans="2:6">
      <c r="B466" s="88">
        <v>552</v>
      </c>
      <c r="D466" s="90" t="s">
        <v>476</v>
      </c>
      <c r="E466" s="90" t="s">
        <v>871</v>
      </c>
      <c r="F466" s="90" t="s">
        <v>871</v>
      </c>
    </row>
    <row r="467" spans="2:6" ht="26.4">
      <c r="B467" s="88">
        <v>553</v>
      </c>
      <c r="D467" s="90" t="s">
        <v>307</v>
      </c>
      <c r="E467" s="90" t="s">
        <v>872</v>
      </c>
      <c r="F467" s="90" t="s">
        <v>872</v>
      </c>
    </row>
    <row r="468" spans="2:6" ht="26.4">
      <c r="B468" s="88">
        <v>554</v>
      </c>
      <c r="D468" s="90" t="s">
        <v>477</v>
      </c>
      <c r="E468" s="90" t="s">
        <v>873</v>
      </c>
      <c r="F468" s="90" t="s">
        <v>873</v>
      </c>
    </row>
    <row r="469" spans="2:6" ht="26.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6.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9.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9.6">
      <c r="B481" s="88">
        <v>567</v>
      </c>
      <c r="D481" s="90" t="s">
        <v>317</v>
      </c>
      <c r="E481" s="90" t="s">
        <v>884</v>
      </c>
      <c r="F481" s="90" t="s">
        <v>884</v>
      </c>
    </row>
    <row r="482" spans="2:6" ht="26.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6.4">
      <c r="B485" s="88">
        <v>571</v>
      </c>
      <c r="D485" s="90" t="s">
        <v>478</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1308</v>
      </c>
      <c r="E488" s="90" t="s">
        <v>1309</v>
      </c>
      <c r="F488" s="90" t="s">
        <v>1309</v>
      </c>
    </row>
    <row r="489" spans="2:6">
      <c r="B489" s="88">
        <v>575</v>
      </c>
      <c r="D489" s="90" t="s">
        <v>1277</v>
      </c>
      <c r="E489" s="90" t="s">
        <v>1278</v>
      </c>
      <c r="F489" s="90" t="s">
        <v>1278</v>
      </c>
    </row>
    <row r="490" spans="2:6">
      <c r="B490" s="88">
        <v>576</v>
      </c>
      <c r="D490" s="90" t="s">
        <v>323</v>
      </c>
      <c r="E490" s="90" t="s">
        <v>891</v>
      </c>
      <c r="F490" s="90" t="s">
        <v>891</v>
      </c>
    </row>
    <row r="491" spans="2:6">
      <c r="B491" s="88">
        <v>577</v>
      </c>
      <c r="D491" s="90" t="s">
        <v>479</v>
      </c>
      <c r="E491" s="90" t="s">
        <v>892</v>
      </c>
      <c r="F491" s="90" t="s">
        <v>892</v>
      </c>
    </row>
    <row r="492" spans="2:6" ht="39.6">
      <c r="B492" s="88">
        <v>578</v>
      </c>
      <c r="D492" s="90" t="s">
        <v>480</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179" t="s">
        <v>565</v>
      </c>
      <c r="F495" s="179" t="s">
        <v>565</v>
      </c>
    </row>
    <row r="496" spans="2:6">
      <c r="B496" s="88">
        <v>582</v>
      </c>
      <c r="C496" s="89" t="s">
        <v>579</v>
      </c>
      <c r="D496" s="90" t="s">
        <v>572</v>
      </c>
      <c r="E496" s="179" t="s">
        <v>563</v>
      </c>
      <c r="F496" s="179" t="s">
        <v>563</v>
      </c>
    </row>
    <row r="497" spans="1:6">
      <c r="B497" s="88">
        <v>583</v>
      </c>
      <c r="D497" s="90" t="s">
        <v>326</v>
      </c>
      <c r="E497" s="90" t="s">
        <v>896</v>
      </c>
      <c r="F497" s="90" t="s">
        <v>896</v>
      </c>
    </row>
    <row r="498" spans="1:6" ht="39.6">
      <c r="B498" s="88">
        <v>584</v>
      </c>
      <c r="D498" s="90" t="s">
        <v>327</v>
      </c>
      <c r="E498" s="90" t="s">
        <v>897</v>
      </c>
      <c r="F498" s="90" t="s">
        <v>897</v>
      </c>
    </row>
    <row r="499" spans="1:6">
      <c r="B499" s="88">
        <v>585</v>
      </c>
      <c r="D499" s="90" t="s">
        <v>328</v>
      </c>
      <c r="E499" s="90" t="s">
        <v>898</v>
      </c>
      <c r="F499" s="90" t="s">
        <v>898</v>
      </c>
    </row>
    <row r="500" spans="1:6">
      <c r="A500" s="176"/>
      <c r="B500" s="88">
        <v>586</v>
      </c>
      <c r="C500" s="177" t="s">
        <v>489</v>
      </c>
      <c r="D500" s="175" t="s">
        <v>495</v>
      </c>
      <c r="E500" s="175" t="s">
        <v>899</v>
      </c>
      <c r="F500" s="175" t="s">
        <v>899</v>
      </c>
    </row>
    <row r="501" spans="1:6">
      <c r="A501" s="176"/>
      <c r="B501" s="88">
        <v>587</v>
      </c>
      <c r="C501" s="177" t="s">
        <v>489</v>
      </c>
      <c r="D501" s="175" t="s">
        <v>524</v>
      </c>
      <c r="E501" s="175" t="s">
        <v>900</v>
      </c>
      <c r="F501" s="175" t="s">
        <v>900</v>
      </c>
    </row>
    <row r="502" spans="1:6">
      <c r="B502" s="88">
        <v>588</v>
      </c>
      <c r="D502" s="90" t="s">
        <v>329</v>
      </c>
      <c r="E502" s="175" t="s">
        <v>901</v>
      </c>
      <c r="F502" s="175" t="s">
        <v>901</v>
      </c>
    </row>
    <row r="503" spans="1:6">
      <c r="B503" s="88">
        <v>589</v>
      </c>
      <c r="D503" s="90" t="s">
        <v>330</v>
      </c>
      <c r="E503" s="90" t="s">
        <v>902</v>
      </c>
      <c r="F503" s="90" t="s">
        <v>902</v>
      </c>
    </row>
    <row r="504" spans="1:6">
      <c r="B504" s="88">
        <v>590</v>
      </c>
      <c r="D504" s="90" t="s">
        <v>331</v>
      </c>
      <c r="E504" s="90" t="s">
        <v>903</v>
      </c>
      <c r="F504" s="90" t="s">
        <v>903</v>
      </c>
    </row>
    <row r="505" spans="1:6" ht="26.4">
      <c r="B505" s="88">
        <v>591</v>
      </c>
      <c r="D505" s="90" t="s">
        <v>332</v>
      </c>
      <c r="E505" s="90" t="s">
        <v>904</v>
      </c>
      <c r="F505" s="90" t="s">
        <v>904</v>
      </c>
    </row>
    <row r="506" spans="1:6">
      <c r="B506" s="88">
        <v>592</v>
      </c>
      <c r="D506" s="90" t="s">
        <v>333</v>
      </c>
      <c r="E506" s="90" t="s">
        <v>905</v>
      </c>
      <c r="F506" s="90" t="s">
        <v>905</v>
      </c>
    </row>
    <row r="507" spans="1:6" ht="39.6">
      <c r="B507" s="88">
        <v>593</v>
      </c>
      <c r="D507" s="90" t="s">
        <v>334</v>
      </c>
      <c r="E507" s="90" t="s">
        <v>906</v>
      </c>
      <c r="F507" s="90" t="s">
        <v>906</v>
      </c>
    </row>
    <row r="508" spans="1:6">
      <c r="B508" s="88">
        <v>594</v>
      </c>
      <c r="D508" s="90" t="s">
        <v>335</v>
      </c>
      <c r="E508" s="90" t="s">
        <v>1008</v>
      </c>
      <c r="F508" s="90" t="s">
        <v>1008</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481</v>
      </c>
      <c r="E515" s="90" t="s">
        <v>912</v>
      </c>
      <c r="F515" s="90" t="s">
        <v>912</v>
      </c>
    </row>
    <row r="516" spans="2:6" ht="26.4">
      <c r="B516" s="88">
        <v>602</v>
      </c>
      <c r="D516" s="90" t="s">
        <v>342</v>
      </c>
      <c r="E516" s="90" t="s">
        <v>913</v>
      </c>
      <c r="F516" s="90" t="s">
        <v>913</v>
      </c>
    </row>
    <row r="517" spans="2:6">
      <c r="B517" s="88">
        <v>603</v>
      </c>
      <c r="D517" s="90" t="s">
        <v>343</v>
      </c>
      <c r="E517" s="90" t="s">
        <v>343</v>
      </c>
      <c r="F517" s="90" t="s">
        <v>343</v>
      </c>
    </row>
    <row r="518" spans="2:6">
      <c r="B518" s="88">
        <v>604</v>
      </c>
      <c r="D518" s="90" t="s">
        <v>1237</v>
      </c>
      <c r="E518" s="90" t="s">
        <v>1239</v>
      </c>
      <c r="F518" s="90" t="s">
        <v>1239</v>
      </c>
    </row>
    <row r="519" spans="2:6">
      <c r="B519" s="88">
        <v>605</v>
      </c>
      <c r="D519" s="90" t="s">
        <v>1236</v>
      </c>
      <c r="E519" s="90" t="s">
        <v>1238</v>
      </c>
      <c r="F519" s="90" t="s">
        <v>1238</v>
      </c>
    </row>
    <row r="520" spans="2:6">
      <c r="B520" s="88">
        <v>606</v>
      </c>
      <c r="D520" s="90" t="s">
        <v>482</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483</v>
      </c>
      <c r="E523" s="90" t="s">
        <v>915</v>
      </c>
      <c r="F523" s="90" t="s">
        <v>915</v>
      </c>
    </row>
    <row r="524" spans="2:6">
      <c r="B524" s="88">
        <v>610</v>
      </c>
      <c r="D524" s="90" t="s">
        <v>484</v>
      </c>
      <c r="E524" s="90" t="s">
        <v>916</v>
      </c>
      <c r="F524" s="90" t="s">
        <v>916</v>
      </c>
    </row>
    <row r="525" spans="2:6">
      <c r="B525" s="88">
        <v>611</v>
      </c>
      <c r="D525" s="90" t="s">
        <v>485</v>
      </c>
      <c r="E525" s="90" t="s">
        <v>915</v>
      </c>
      <c r="F525" s="90" t="s">
        <v>915</v>
      </c>
    </row>
    <row r="526" spans="2:6">
      <c r="B526" s="88">
        <v>612</v>
      </c>
      <c r="D526" s="90" t="s">
        <v>345</v>
      </c>
      <c r="E526" s="90" t="s">
        <v>530</v>
      </c>
      <c r="F526" s="90" t="s">
        <v>530</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1338</v>
      </c>
      <c r="E529" s="90" t="s">
        <v>1340</v>
      </c>
      <c r="F529" s="90" t="s">
        <v>1340</v>
      </c>
    </row>
    <row r="530" spans="1:6">
      <c r="B530" s="88">
        <v>616</v>
      </c>
      <c r="D530" s="90" t="s">
        <v>1337</v>
      </c>
      <c r="E530" s="90" t="s">
        <v>1339</v>
      </c>
      <c r="F530" s="90" t="s">
        <v>1339</v>
      </c>
    </row>
    <row r="531" spans="1:6" ht="39.6">
      <c r="B531" s="88">
        <v>617</v>
      </c>
      <c r="C531" s="89" t="s">
        <v>1139</v>
      </c>
      <c r="D531" s="90" t="s">
        <v>1180</v>
      </c>
      <c r="E531" s="90" t="s">
        <v>1143</v>
      </c>
      <c r="F531" s="90" t="s">
        <v>1143</v>
      </c>
    </row>
    <row r="532" spans="1:6" ht="39.6">
      <c r="B532" s="88">
        <v>618</v>
      </c>
      <c r="C532" s="89" t="s">
        <v>1139</v>
      </c>
      <c r="D532" s="90" t="s">
        <v>1195</v>
      </c>
      <c r="E532" s="90" t="s">
        <v>1160</v>
      </c>
      <c r="F532" s="90" t="s">
        <v>1160</v>
      </c>
    </row>
    <row r="533" spans="1:6">
      <c r="B533" s="88">
        <v>619</v>
      </c>
      <c r="D533" s="90" t="s">
        <v>348</v>
      </c>
      <c r="E533" s="90" t="s">
        <v>919</v>
      </c>
      <c r="F533" s="90" t="s">
        <v>919</v>
      </c>
    </row>
    <row r="534" spans="1:6">
      <c r="B534" s="88">
        <v>620</v>
      </c>
      <c r="D534" s="90" t="s">
        <v>1243</v>
      </c>
      <c r="E534" s="90" t="s">
        <v>1244</v>
      </c>
      <c r="F534" s="90" t="s">
        <v>1244</v>
      </c>
    </row>
    <row r="535" spans="1:6">
      <c r="B535" s="88">
        <v>621</v>
      </c>
      <c r="D535" s="90" t="s">
        <v>1088</v>
      </c>
      <c r="E535" s="90" t="s">
        <v>1088</v>
      </c>
      <c r="F535" s="90" t="s">
        <v>1088</v>
      </c>
    </row>
    <row r="536" spans="1:6">
      <c r="B536" s="88">
        <v>622</v>
      </c>
      <c r="D536" s="90" t="s">
        <v>349</v>
      </c>
      <c r="F536" s="90"/>
    </row>
    <row r="537" spans="1:6">
      <c r="B537" s="88">
        <v>623</v>
      </c>
      <c r="D537" s="90" t="s">
        <v>350</v>
      </c>
      <c r="F537" s="90"/>
    </row>
    <row r="538" spans="1:6">
      <c r="B538" s="88">
        <v>624</v>
      </c>
      <c r="D538" s="90" t="s">
        <v>1086</v>
      </c>
      <c r="E538" s="90" t="s">
        <v>1087</v>
      </c>
      <c r="F538" s="90" t="s">
        <v>1087</v>
      </c>
    </row>
    <row r="539" spans="1:6">
      <c r="B539" s="88">
        <v>625</v>
      </c>
      <c r="D539" s="90" t="s">
        <v>351</v>
      </c>
      <c r="E539" s="90" t="s">
        <v>920</v>
      </c>
      <c r="F539" s="90" t="s">
        <v>920</v>
      </c>
    </row>
    <row r="540" spans="1:6">
      <c r="B540" s="88">
        <v>626</v>
      </c>
      <c r="D540" s="90" t="s">
        <v>486</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6.4">
      <c r="A544" s="175"/>
      <c r="B544" s="88">
        <v>630</v>
      </c>
      <c r="C544" s="175"/>
      <c r="D544" s="175" t="s">
        <v>525</v>
      </c>
      <c r="E544" s="175" t="s">
        <v>924</v>
      </c>
      <c r="F544" s="175" t="s">
        <v>924</v>
      </c>
    </row>
    <row r="545" spans="2:6">
      <c r="B545" s="88">
        <v>631</v>
      </c>
      <c r="C545" s="89" t="s">
        <v>1139</v>
      </c>
      <c r="D545" s="90" t="s">
        <v>1177</v>
      </c>
      <c r="E545" s="90" t="s">
        <v>1138</v>
      </c>
      <c r="F545" s="90" t="s">
        <v>1138</v>
      </c>
    </row>
    <row r="546" spans="2:6">
      <c r="B546" s="88">
        <v>632</v>
      </c>
      <c r="C546" s="89" t="s">
        <v>1139</v>
      </c>
      <c r="D546" s="90" t="s">
        <v>1386</v>
      </c>
      <c r="E546" s="90" t="s">
        <v>1387</v>
      </c>
      <c r="F546" s="90" t="s">
        <v>1387</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487</v>
      </c>
      <c r="E550" s="90" t="s">
        <v>927</v>
      </c>
      <c r="F550" s="90" t="s">
        <v>927</v>
      </c>
    </row>
    <row r="551" spans="2:6" ht="26.4">
      <c r="B551" s="88">
        <v>637</v>
      </c>
      <c r="C551" s="89" t="s">
        <v>1139</v>
      </c>
      <c r="D551" s="90" t="s">
        <v>1197</v>
      </c>
      <c r="E551" s="90" t="s">
        <v>1196</v>
      </c>
      <c r="F551" s="90" t="s">
        <v>1196</v>
      </c>
    </row>
    <row r="552" spans="2:6">
      <c r="B552" s="88">
        <v>638</v>
      </c>
      <c r="D552" s="90" t="s">
        <v>357</v>
      </c>
      <c r="E552" s="90" t="s">
        <v>928</v>
      </c>
      <c r="F552" s="90" t="s">
        <v>928</v>
      </c>
    </row>
    <row r="553" spans="2:6" ht="39.6">
      <c r="B553" s="88">
        <v>639</v>
      </c>
      <c r="C553" s="89" t="s">
        <v>1139</v>
      </c>
      <c r="D553" s="90" t="s">
        <v>1206</v>
      </c>
      <c r="E553" s="90" t="s">
        <v>1167</v>
      </c>
      <c r="F553" s="90" t="s">
        <v>1167</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488</v>
      </c>
      <c r="E556" s="90" t="s">
        <v>931</v>
      </c>
      <c r="F556" s="90" t="s">
        <v>931</v>
      </c>
    </row>
    <row r="557" spans="2:6" ht="26.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937</v>
      </c>
      <c r="F563" s="90" t="s">
        <v>937</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929</v>
      </c>
      <c r="F564" s="90" t="s">
        <v>929</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1139</v>
      </c>
      <c r="D565" s="90" t="s">
        <v>1198</v>
      </c>
      <c r="E565" s="90" t="s">
        <v>1161</v>
      </c>
      <c r="F565" s="90" t="s">
        <v>1161</v>
      </c>
    </row>
    <row r="566" spans="2:27" ht="26.4">
      <c r="B566" s="88">
        <v>652</v>
      </c>
      <c r="D566" s="90" t="s">
        <v>368</v>
      </c>
      <c r="E566" s="90" t="s">
        <v>938</v>
      </c>
      <c r="F566" s="90" t="s">
        <v>938</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939</v>
      </c>
      <c r="F567" s="90" t="s">
        <v>939</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940</v>
      </c>
      <c r="F568" s="90" t="s">
        <v>940</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941</v>
      </c>
      <c r="F569" s="90" t="s">
        <v>941</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942</v>
      </c>
      <c r="F570" s="90" t="s">
        <v>942</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943</v>
      </c>
      <c r="F571" s="90" t="s">
        <v>943</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944</v>
      </c>
      <c r="F572" s="90" t="s">
        <v>944</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945</v>
      </c>
      <c r="F573" s="90" t="s">
        <v>945</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946</v>
      </c>
      <c r="F574" s="90" t="s">
        <v>946</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947</v>
      </c>
      <c r="F575" s="90" t="s">
        <v>947</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1403</v>
      </c>
      <c r="E576" s="90" t="s">
        <v>1388</v>
      </c>
      <c r="F576" s="90" t="s">
        <v>1388</v>
      </c>
    </row>
    <row r="577" spans="2:6">
      <c r="B577" s="88">
        <v>663</v>
      </c>
      <c r="D577" s="90" t="s">
        <v>1404</v>
      </c>
      <c r="E577" s="90" t="s">
        <v>1389</v>
      </c>
      <c r="F577" s="90" t="s">
        <v>1389</v>
      </c>
    </row>
    <row r="578" spans="2:6">
      <c r="B578" s="88">
        <v>664</v>
      </c>
      <c r="D578" s="90" t="s">
        <v>1390</v>
      </c>
      <c r="E578" s="90" t="s">
        <v>1391</v>
      </c>
      <c r="F578" s="90" t="s">
        <v>1391</v>
      </c>
    </row>
    <row r="579" spans="2:6">
      <c r="B579" s="88">
        <v>665</v>
      </c>
      <c r="D579" s="90" t="s">
        <v>1400</v>
      </c>
      <c r="E579" s="90" t="s">
        <v>1401</v>
      </c>
      <c r="F579" s="90" t="s">
        <v>1401</v>
      </c>
    </row>
    <row r="580" spans="2:6">
      <c r="B580" s="88">
        <v>666</v>
      </c>
      <c r="D580" s="90" t="s">
        <v>1394</v>
      </c>
      <c r="E580" s="90" t="s">
        <v>1397</v>
      </c>
      <c r="F580" s="90" t="s">
        <v>1397</v>
      </c>
    </row>
    <row r="581" spans="2:6">
      <c r="B581" s="88">
        <v>667</v>
      </c>
      <c r="D581" s="90" t="s">
        <v>1395</v>
      </c>
      <c r="E581" s="90" t="s">
        <v>1398</v>
      </c>
      <c r="F581" s="90" t="s">
        <v>1398</v>
      </c>
    </row>
    <row r="582" spans="2:6">
      <c r="B582" s="88">
        <v>667</v>
      </c>
      <c r="D582" s="90" t="s">
        <v>1396</v>
      </c>
      <c r="E582" s="90" t="s">
        <v>1399</v>
      </c>
      <c r="F582" s="90" t="s">
        <v>1399</v>
      </c>
    </row>
    <row r="583" spans="2:6">
      <c r="B583" s="88">
        <v>667</v>
      </c>
      <c r="D583" s="90" t="s">
        <v>1408</v>
      </c>
      <c r="E583" s="90" t="s">
        <v>1407</v>
      </c>
      <c r="F583" s="90" t="s">
        <v>1407</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96"/>
  <sheetViews>
    <sheetView zoomScale="81" zoomScaleNormal="81" workbookViewId="0">
      <selection activeCell="J30" sqref="J30"/>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1085</v>
      </c>
      <c r="B1" s="132" t="s">
        <v>379</v>
      </c>
      <c r="C1" s="132" t="s">
        <v>1073</v>
      </c>
      <c r="D1" s="132" t="s">
        <v>1074</v>
      </c>
      <c r="E1" s="132" t="s">
        <v>1075</v>
      </c>
      <c r="F1" s="132" t="s">
        <v>1076</v>
      </c>
      <c r="G1" s="132" t="s">
        <v>1077</v>
      </c>
      <c r="H1" s="132" t="s">
        <v>1078</v>
      </c>
      <c r="I1" s="132" t="s">
        <v>1079</v>
      </c>
      <c r="J1" s="132" t="s">
        <v>1080</v>
      </c>
      <c r="K1" s="132" t="s">
        <v>1081</v>
      </c>
      <c r="L1" s="132" t="s">
        <v>1082</v>
      </c>
      <c r="M1" s="132" t="s">
        <v>380</v>
      </c>
      <c r="N1" s="132" t="s">
        <v>381</v>
      </c>
      <c r="O1" s="132" t="s">
        <v>382</v>
      </c>
      <c r="P1" s="132" t="s">
        <v>383</v>
      </c>
      <c r="Q1" s="132" t="s">
        <v>1034</v>
      </c>
      <c r="R1" s="132" t="s">
        <v>1035</v>
      </c>
      <c r="S1" s="132" t="s">
        <v>1084</v>
      </c>
      <c r="T1" s="132" t="s">
        <v>1281</v>
      </c>
      <c r="U1" s="132" t="s">
        <v>1012</v>
      </c>
      <c r="V1" s="133" t="s">
        <v>1013</v>
      </c>
      <c r="W1" s="132" t="s">
        <v>1015</v>
      </c>
      <c r="X1" s="134" t="s">
        <v>1260</v>
      </c>
      <c r="Y1" s="134" t="s">
        <v>1016</v>
      </c>
      <c r="Z1" s="134" t="s">
        <v>1017</v>
      </c>
      <c r="AA1" s="133" t="s">
        <v>1036</v>
      </c>
      <c r="AB1" s="133" t="s">
        <v>1037</v>
      </c>
      <c r="AC1" s="133" t="s">
        <v>1070</v>
      </c>
      <c r="AD1" s="132" t="s">
        <v>1014</v>
      </c>
    </row>
    <row r="2" spans="1:30">
      <c r="A2" s="131" t="s">
        <v>1100</v>
      </c>
      <c r="B2" s="131" t="s">
        <v>1094</v>
      </c>
      <c r="C2" s="131" t="s">
        <v>1019</v>
      </c>
      <c r="D2" s="131" t="s">
        <v>1093</v>
      </c>
      <c r="E2" s="131" t="s">
        <v>1094</v>
      </c>
      <c r="M2" s="131" t="s">
        <v>1478</v>
      </c>
      <c r="N2" s="131" t="s">
        <v>1330</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1100</v>
      </c>
      <c r="B3" s="131" t="s">
        <v>1094</v>
      </c>
      <c r="C3" s="131" t="s">
        <v>1019</v>
      </c>
      <c r="D3" s="131" t="s">
        <v>1093</v>
      </c>
      <c r="E3" s="131" t="s">
        <v>1094</v>
      </c>
      <c r="M3" s="131" t="s">
        <v>1478</v>
      </c>
      <c r="N3" s="131" t="s">
        <v>1332</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1101</v>
      </c>
      <c r="B4" s="131" t="s">
        <v>1479</v>
      </c>
      <c r="C4" s="131" t="s">
        <v>1019</v>
      </c>
      <c r="D4" s="131" t="s">
        <v>1093</v>
      </c>
      <c r="E4" s="131" t="s">
        <v>1095</v>
      </c>
      <c r="F4" s="131" t="s">
        <v>1479</v>
      </c>
      <c r="M4" s="131" t="s">
        <v>1480</v>
      </c>
      <c r="N4" s="131" t="s">
        <v>1330</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1101</v>
      </c>
      <c r="B5" s="131" t="s">
        <v>1479</v>
      </c>
      <c r="C5" s="131" t="s">
        <v>1019</v>
      </c>
      <c r="D5" s="131" t="s">
        <v>1093</v>
      </c>
      <c r="E5" s="131" t="s">
        <v>1095</v>
      </c>
      <c r="F5" s="131" t="s">
        <v>1479</v>
      </c>
      <c r="M5" s="131" t="s">
        <v>1480</v>
      </c>
      <c r="N5" s="131" t="s">
        <v>1330</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1101</v>
      </c>
      <c r="B6" s="131" t="s">
        <v>1479</v>
      </c>
      <c r="C6" s="131" t="s">
        <v>1019</v>
      </c>
      <c r="D6" s="131" t="s">
        <v>1093</v>
      </c>
      <c r="E6" s="131" t="s">
        <v>1095</v>
      </c>
      <c r="F6" s="131" t="s">
        <v>1479</v>
      </c>
      <c r="M6" s="131" t="s">
        <v>1480</v>
      </c>
      <c r="N6" s="131" t="s">
        <v>1330</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1101</v>
      </c>
      <c r="B7" s="131" t="s">
        <v>1481</v>
      </c>
      <c r="C7" s="131" t="s">
        <v>1019</v>
      </c>
      <c r="D7" s="131" t="s">
        <v>1093</v>
      </c>
      <c r="E7" s="131" t="s">
        <v>1095</v>
      </c>
      <c r="F7" s="131" t="s">
        <v>1481</v>
      </c>
      <c r="M7" s="131" t="s">
        <v>1482</v>
      </c>
      <c r="N7" s="131" t="s">
        <v>1330</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1100</v>
      </c>
      <c r="B8" s="131" t="s">
        <v>1097</v>
      </c>
      <c r="C8" s="131" t="s">
        <v>1019</v>
      </c>
      <c r="D8" s="131" t="s">
        <v>1096</v>
      </c>
      <c r="E8" s="131" t="s">
        <v>1097</v>
      </c>
      <c r="M8" s="131" t="s">
        <v>1483</v>
      </c>
      <c r="N8" s="131" t="s">
        <v>1559</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1100</v>
      </c>
      <c r="B9" s="131" t="s">
        <v>1097</v>
      </c>
      <c r="C9" s="131" t="s">
        <v>1019</v>
      </c>
      <c r="D9" s="131" t="s">
        <v>1096</v>
      </c>
      <c r="E9" s="131" t="s">
        <v>1097</v>
      </c>
      <c r="M9" s="131" t="s">
        <v>1483</v>
      </c>
      <c r="N9" s="131" t="s">
        <v>1559</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1100</v>
      </c>
      <c r="B10" s="131" t="s">
        <v>1097</v>
      </c>
      <c r="C10" s="131" t="s">
        <v>1019</v>
      </c>
      <c r="D10" s="131" t="s">
        <v>1096</v>
      </c>
      <c r="E10" s="131" t="s">
        <v>1097</v>
      </c>
      <c r="M10" s="131" t="s">
        <v>1483</v>
      </c>
      <c r="N10" s="131" t="s">
        <v>1559</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1100</v>
      </c>
      <c r="B11" s="131" t="s">
        <v>1097</v>
      </c>
      <c r="C11" s="131" t="s">
        <v>1019</v>
      </c>
      <c r="D11" s="131" t="s">
        <v>1096</v>
      </c>
      <c r="E11" s="131" t="s">
        <v>1097</v>
      </c>
      <c r="M11" s="131" t="s">
        <v>1483</v>
      </c>
      <c r="N11" s="131" t="s">
        <v>1559</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1100</v>
      </c>
      <c r="B12" s="131" t="s">
        <v>1097</v>
      </c>
      <c r="C12" s="131" t="s">
        <v>1019</v>
      </c>
      <c r="D12" s="131" t="s">
        <v>1096</v>
      </c>
      <c r="E12" s="131" t="s">
        <v>1097</v>
      </c>
      <c r="M12" s="131" t="s">
        <v>1483</v>
      </c>
      <c r="N12" s="131" t="s">
        <v>1559</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1100</v>
      </c>
      <c r="B13" s="131" t="s">
        <v>1118</v>
      </c>
      <c r="C13" s="131" t="s">
        <v>1019</v>
      </c>
      <c r="D13" s="131" t="s">
        <v>1096</v>
      </c>
      <c r="E13" s="131" t="s">
        <v>1118</v>
      </c>
      <c r="M13" s="131" t="s">
        <v>1484</v>
      </c>
      <c r="N13" s="131" t="s">
        <v>1559</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1100</v>
      </c>
      <c r="B14" s="131" t="s">
        <v>1485</v>
      </c>
      <c r="C14" s="131" t="s">
        <v>1019</v>
      </c>
      <c r="D14" s="131" t="s">
        <v>1096</v>
      </c>
      <c r="E14" s="131" t="s">
        <v>1485</v>
      </c>
      <c r="M14" s="131" t="s">
        <v>1486</v>
      </c>
      <c r="N14" s="131" t="s">
        <v>1559</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1100</v>
      </c>
      <c r="B15" s="131" t="s">
        <v>1485</v>
      </c>
      <c r="C15" s="131" t="s">
        <v>1019</v>
      </c>
      <c r="D15" s="131" t="s">
        <v>1096</v>
      </c>
      <c r="E15" s="131" t="s">
        <v>1485</v>
      </c>
      <c r="M15" s="131" t="s">
        <v>1486</v>
      </c>
      <c r="N15" s="131" t="s">
        <v>1559</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1100</v>
      </c>
      <c r="B16" s="131" t="s">
        <v>1485</v>
      </c>
      <c r="C16" s="131" t="s">
        <v>1019</v>
      </c>
      <c r="D16" s="131" t="s">
        <v>1096</v>
      </c>
      <c r="E16" s="131" t="s">
        <v>1485</v>
      </c>
      <c r="M16" s="131" t="s">
        <v>1486</v>
      </c>
      <c r="N16" s="131" t="s">
        <v>1559</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1100</v>
      </c>
      <c r="B17" s="131" t="s">
        <v>1485</v>
      </c>
      <c r="C17" s="131" t="s">
        <v>1019</v>
      </c>
      <c r="D17" s="131" t="s">
        <v>1096</v>
      </c>
      <c r="E17" s="131" t="s">
        <v>1485</v>
      </c>
      <c r="M17" s="131" t="s">
        <v>1486</v>
      </c>
      <c r="N17" s="131" t="s">
        <v>1559</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1100</v>
      </c>
      <c r="B18" s="131" t="s">
        <v>1485</v>
      </c>
      <c r="C18" s="131" t="s">
        <v>1019</v>
      </c>
      <c r="D18" s="131" t="s">
        <v>1096</v>
      </c>
      <c r="E18" s="131" t="s">
        <v>1485</v>
      </c>
      <c r="M18" s="131" t="s">
        <v>1486</v>
      </c>
      <c r="N18" s="131" t="s">
        <v>1559</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1100</v>
      </c>
      <c r="B19" s="131" t="s">
        <v>1487</v>
      </c>
      <c r="C19" s="131" t="s">
        <v>1019</v>
      </c>
      <c r="D19" s="131" t="s">
        <v>1096</v>
      </c>
      <c r="E19" s="131" t="s">
        <v>1487</v>
      </c>
      <c r="M19" s="131" t="s">
        <v>1488</v>
      </c>
      <c r="N19" s="131" t="s">
        <v>1467</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1100</v>
      </c>
      <c r="B20" s="131" t="s">
        <v>1099</v>
      </c>
      <c r="C20" s="131" t="s">
        <v>1019</v>
      </c>
      <c r="D20" s="131" t="s">
        <v>1098</v>
      </c>
      <c r="E20" s="131" t="s">
        <v>1099</v>
      </c>
      <c r="M20" s="131" t="s">
        <v>1490</v>
      </c>
      <c r="N20" s="131" t="s">
        <v>1332</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1100</v>
      </c>
      <c r="B21" s="131" t="s">
        <v>1099</v>
      </c>
      <c r="C21" s="131" t="s">
        <v>1019</v>
      </c>
      <c r="D21" s="131" t="s">
        <v>1098</v>
      </c>
      <c r="E21" s="131" t="s">
        <v>1099</v>
      </c>
      <c r="M21" s="131" t="s">
        <v>1490</v>
      </c>
      <c r="N21" s="131" t="s">
        <v>1330</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1100</v>
      </c>
      <c r="B22" s="131" t="s">
        <v>1099</v>
      </c>
      <c r="C22" s="131" t="s">
        <v>1019</v>
      </c>
      <c r="D22" s="131" t="s">
        <v>1098</v>
      </c>
      <c r="E22" s="131" t="s">
        <v>1099</v>
      </c>
      <c r="M22" s="131" t="s">
        <v>1490</v>
      </c>
      <c r="N22" s="131" t="s">
        <v>1332</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1100</v>
      </c>
      <c r="B23" s="131" t="s">
        <v>1099</v>
      </c>
      <c r="C23" s="131" t="s">
        <v>1019</v>
      </c>
      <c r="D23" s="131" t="s">
        <v>1098</v>
      </c>
      <c r="E23" s="131" t="s">
        <v>1099</v>
      </c>
      <c r="M23" s="131" t="s">
        <v>1490</v>
      </c>
      <c r="N23" s="131" t="s">
        <v>1330</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1100</v>
      </c>
      <c r="B24" s="131" t="s">
        <v>1119</v>
      </c>
      <c r="C24" s="131" t="s">
        <v>1019</v>
      </c>
      <c r="D24" s="131" t="s">
        <v>1098</v>
      </c>
      <c r="E24" s="131" t="s">
        <v>1119</v>
      </c>
      <c r="M24" s="131" t="s">
        <v>1491</v>
      </c>
      <c r="N24" s="131" t="s">
        <v>735</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1100</v>
      </c>
      <c r="B25" s="131" t="s">
        <v>1119</v>
      </c>
      <c r="C25" s="131" t="s">
        <v>1019</v>
      </c>
      <c r="D25" s="131" t="s">
        <v>1098</v>
      </c>
      <c r="E25" s="131" t="s">
        <v>1119</v>
      </c>
      <c r="M25" s="131" t="s">
        <v>1491</v>
      </c>
      <c r="N25" s="131" t="s">
        <v>735</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1100</v>
      </c>
      <c r="B26" s="131" t="s">
        <v>1119</v>
      </c>
      <c r="C26" s="131" t="s">
        <v>1019</v>
      </c>
      <c r="D26" s="131" t="s">
        <v>1098</v>
      </c>
      <c r="E26" s="131" t="s">
        <v>1119</v>
      </c>
      <c r="M26" s="131" t="s">
        <v>1491</v>
      </c>
      <c r="N26" s="131" t="s">
        <v>735</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1100</v>
      </c>
      <c r="B27" s="131" t="s">
        <v>1119</v>
      </c>
      <c r="C27" s="131" t="s">
        <v>1019</v>
      </c>
      <c r="D27" s="131" t="s">
        <v>1098</v>
      </c>
      <c r="E27" s="131" t="s">
        <v>1119</v>
      </c>
      <c r="M27" s="131" t="s">
        <v>1491</v>
      </c>
      <c r="N27" s="131" t="s">
        <v>735</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1100</v>
      </c>
      <c r="B28" s="131" t="s">
        <v>1492</v>
      </c>
      <c r="C28" s="131" t="s">
        <v>1019</v>
      </c>
      <c r="D28" s="131" t="s">
        <v>1098</v>
      </c>
      <c r="E28" s="131" t="s">
        <v>1492</v>
      </c>
      <c r="M28" s="131" t="s">
        <v>1493</v>
      </c>
      <c r="N28" s="131" t="s">
        <v>1365</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1100</v>
      </c>
      <c r="B29" s="131" t="s">
        <v>1492</v>
      </c>
      <c r="C29" s="131" t="s">
        <v>1019</v>
      </c>
      <c r="D29" s="131" t="s">
        <v>1098</v>
      </c>
      <c r="E29" s="131" t="s">
        <v>1492</v>
      </c>
      <c r="M29" s="131" t="s">
        <v>1493</v>
      </c>
      <c r="N29" s="131" t="s">
        <v>1366</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1100</v>
      </c>
      <c r="B30" s="131" t="s">
        <v>1494</v>
      </c>
      <c r="C30" s="131" t="s">
        <v>1019</v>
      </c>
      <c r="D30" s="131" t="s">
        <v>1098</v>
      </c>
      <c r="E30" s="131" t="s">
        <v>1494</v>
      </c>
      <c r="M30" s="131" t="s">
        <v>1495</v>
      </c>
      <c r="N30" s="131" t="s">
        <v>1467</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1100</v>
      </c>
      <c r="B31" s="131" t="s">
        <v>1496</v>
      </c>
      <c r="C31" s="131" t="s">
        <v>1083</v>
      </c>
      <c r="D31" s="131" t="s">
        <v>1552</v>
      </c>
      <c r="E31" s="131" t="s">
        <v>1496</v>
      </c>
      <c r="M31" s="131" t="s">
        <v>1497</v>
      </c>
      <c r="N31" s="131" t="s">
        <v>1467</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1100</v>
      </c>
      <c r="B32" s="131" t="s">
        <v>1496</v>
      </c>
      <c r="C32" s="131" t="s">
        <v>1083</v>
      </c>
      <c r="D32" s="131" t="s">
        <v>1552</v>
      </c>
      <c r="E32" s="131" t="s">
        <v>1496</v>
      </c>
      <c r="M32" s="131" t="s">
        <v>1497</v>
      </c>
      <c r="N32" s="131" t="s">
        <v>1467</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1100</v>
      </c>
      <c r="B33" s="131" t="s">
        <v>1496</v>
      </c>
      <c r="C33" s="131" t="s">
        <v>1083</v>
      </c>
      <c r="D33" s="131" t="s">
        <v>1552</v>
      </c>
      <c r="E33" s="131" t="s">
        <v>1496</v>
      </c>
      <c r="M33" s="131" t="s">
        <v>1497</v>
      </c>
      <c r="N33" s="131" t="s">
        <v>1467</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1100</v>
      </c>
      <c r="B34" s="131" t="s">
        <v>1496</v>
      </c>
      <c r="C34" s="131" t="s">
        <v>1083</v>
      </c>
      <c r="D34" s="131" t="s">
        <v>1552</v>
      </c>
      <c r="E34" s="131" t="s">
        <v>1496</v>
      </c>
      <c r="M34" s="131" t="s">
        <v>1497</v>
      </c>
      <c r="N34" s="131" t="s">
        <v>1467</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1101</v>
      </c>
      <c r="B35" s="131" t="s">
        <v>1499</v>
      </c>
      <c r="C35" s="131" t="s">
        <v>1083</v>
      </c>
      <c r="D35" s="131" t="s">
        <v>1552</v>
      </c>
      <c r="E35" s="131" t="s">
        <v>1498</v>
      </c>
      <c r="F35" s="131" t="s">
        <v>1499</v>
      </c>
      <c r="M35" s="131" t="s">
        <v>1500</v>
      </c>
      <c r="N35" s="131" t="s">
        <v>1467</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1101</v>
      </c>
      <c r="B36" s="131" t="s">
        <v>1499</v>
      </c>
      <c r="C36" s="131" t="s">
        <v>1083</v>
      </c>
      <c r="D36" s="131" t="s">
        <v>1552</v>
      </c>
      <c r="E36" s="131" t="s">
        <v>1498</v>
      </c>
      <c r="F36" s="131" t="s">
        <v>1499</v>
      </c>
      <c r="M36" s="131" t="s">
        <v>1500</v>
      </c>
      <c r="N36" s="131" t="s">
        <v>1467</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1101</v>
      </c>
      <c r="B37" s="131" t="s">
        <v>1499</v>
      </c>
      <c r="C37" s="131" t="s">
        <v>1083</v>
      </c>
      <c r="D37" s="131" t="s">
        <v>1552</v>
      </c>
      <c r="E37" s="131" t="s">
        <v>1498</v>
      </c>
      <c r="F37" s="131" t="s">
        <v>1499</v>
      </c>
      <c r="M37" s="131" t="s">
        <v>1500</v>
      </c>
      <c r="N37" s="131" t="s">
        <v>1467</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1101</v>
      </c>
      <c r="B38" s="131" t="s">
        <v>1499</v>
      </c>
      <c r="C38" s="131" t="s">
        <v>1083</v>
      </c>
      <c r="D38" s="131" t="s">
        <v>1552</v>
      </c>
      <c r="E38" s="131" t="s">
        <v>1498</v>
      </c>
      <c r="F38" s="131" t="s">
        <v>1499</v>
      </c>
      <c r="M38" s="131" t="s">
        <v>1500</v>
      </c>
      <c r="N38" s="131" t="s">
        <v>1467</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1101</v>
      </c>
      <c r="B39" s="131" t="s">
        <v>1501</v>
      </c>
      <c r="C39" s="131" t="s">
        <v>1083</v>
      </c>
      <c r="D39" s="131" t="s">
        <v>1552</v>
      </c>
      <c r="E39" s="131" t="s">
        <v>1498</v>
      </c>
      <c r="F39" s="131" t="s">
        <v>1501</v>
      </c>
      <c r="M39" s="131" t="s">
        <v>1502</v>
      </c>
      <c r="N39" s="131" t="s">
        <v>1333</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1101</v>
      </c>
      <c r="B40" s="131" t="s">
        <v>1501</v>
      </c>
      <c r="C40" s="131" t="s">
        <v>1083</v>
      </c>
      <c r="D40" s="131" t="s">
        <v>1552</v>
      </c>
      <c r="E40" s="131" t="s">
        <v>1498</v>
      </c>
      <c r="F40" s="131" t="s">
        <v>1501</v>
      </c>
      <c r="M40" s="131" t="s">
        <v>1502</v>
      </c>
      <c r="N40" s="131" t="s">
        <v>1330</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1101</v>
      </c>
      <c r="B41" s="131" t="s">
        <v>1501</v>
      </c>
      <c r="C41" s="131" t="s">
        <v>1083</v>
      </c>
      <c r="D41" s="131" t="s">
        <v>1552</v>
      </c>
      <c r="E41" s="131" t="s">
        <v>1498</v>
      </c>
      <c r="F41" s="131" t="s">
        <v>1501</v>
      </c>
      <c r="M41" s="131" t="s">
        <v>1502</v>
      </c>
      <c r="N41" s="131" t="s">
        <v>1333</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1101</v>
      </c>
      <c r="B42" s="131" t="s">
        <v>1501</v>
      </c>
      <c r="C42" s="131" t="s">
        <v>1083</v>
      </c>
      <c r="D42" s="131" t="s">
        <v>1552</v>
      </c>
      <c r="E42" s="131" t="s">
        <v>1498</v>
      </c>
      <c r="F42" s="131" t="s">
        <v>1501</v>
      </c>
      <c r="M42" s="131" t="s">
        <v>1502</v>
      </c>
      <c r="N42" s="131" t="s">
        <v>1330</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1101</v>
      </c>
      <c r="B43" s="131" t="s">
        <v>1501</v>
      </c>
      <c r="C43" s="131" t="s">
        <v>1083</v>
      </c>
      <c r="D43" s="131" t="s">
        <v>1552</v>
      </c>
      <c r="E43" s="131" t="s">
        <v>1498</v>
      </c>
      <c r="F43" s="131" t="s">
        <v>1501</v>
      </c>
      <c r="M43" s="131" t="s">
        <v>1502</v>
      </c>
      <c r="N43" s="131" t="s">
        <v>1333</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1101</v>
      </c>
      <c r="B44" s="131" t="s">
        <v>1501</v>
      </c>
      <c r="C44" s="131" t="s">
        <v>1083</v>
      </c>
      <c r="D44" s="131" t="s">
        <v>1552</v>
      </c>
      <c r="E44" s="131" t="s">
        <v>1498</v>
      </c>
      <c r="F44" s="131" t="s">
        <v>1501</v>
      </c>
      <c r="M44" s="131" t="s">
        <v>1502</v>
      </c>
      <c r="N44" s="131" t="s">
        <v>1330</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1101</v>
      </c>
      <c r="B45" s="131" t="s">
        <v>1501</v>
      </c>
      <c r="C45" s="131" t="s">
        <v>1083</v>
      </c>
      <c r="D45" s="131" t="s">
        <v>1552</v>
      </c>
      <c r="E45" s="131" t="s">
        <v>1498</v>
      </c>
      <c r="F45" s="131" t="s">
        <v>1501</v>
      </c>
      <c r="M45" s="131" t="s">
        <v>1502</v>
      </c>
      <c r="N45" s="131" t="s">
        <v>1333</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1101</v>
      </c>
      <c r="B46" s="131" t="s">
        <v>1501</v>
      </c>
      <c r="C46" s="131" t="s">
        <v>1083</v>
      </c>
      <c r="D46" s="131" t="s">
        <v>1552</v>
      </c>
      <c r="E46" s="131" t="s">
        <v>1498</v>
      </c>
      <c r="F46" s="131" t="s">
        <v>1501</v>
      </c>
      <c r="M46" s="131" t="s">
        <v>1502</v>
      </c>
      <c r="N46" s="131" t="s">
        <v>1330</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1100</v>
      </c>
      <c r="B47" s="131" t="s">
        <v>1503</v>
      </c>
      <c r="C47" s="131" t="s">
        <v>1083</v>
      </c>
      <c r="D47" s="131" t="s">
        <v>1553</v>
      </c>
      <c r="E47" s="131" t="s">
        <v>1503</v>
      </c>
      <c r="M47" s="131" t="s">
        <v>1504</v>
      </c>
      <c r="N47" s="131" t="s">
        <v>1467</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1100</v>
      </c>
      <c r="B48" s="131" t="s">
        <v>1503</v>
      </c>
      <c r="C48" s="131" t="s">
        <v>1083</v>
      </c>
      <c r="D48" s="131" t="s">
        <v>1553</v>
      </c>
      <c r="E48" s="131" t="s">
        <v>1503</v>
      </c>
      <c r="M48" s="131" t="s">
        <v>1504</v>
      </c>
      <c r="N48" s="131" t="s">
        <v>1467</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1100</v>
      </c>
      <c r="B49" s="131" t="s">
        <v>1503</v>
      </c>
      <c r="C49" s="131" t="s">
        <v>1083</v>
      </c>
      <c r="D49" s="131" t="s">
        <v>1553</v>
      </c>
      <c r="E49" s="131" t="s">
        <v>1503</v>
      </c>
      <c r="M49" s="131" t="s">
        <v>1504</v>
      </c>
      <c r="N49" s="131" t="s">
        <v>1467</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1101</v>
      </c>
      <c r="B50" s="131" t="s">
        <v>1507</v>
      </c>
      <c r="C50" s="131" t="s">
        <v>1083</v>
      </c>
      <c r="D50" s="131" t="s">
        <v>1553</v>
      </c>
      <c r="E50" s="131" t="s">
        <v>1505</v>
      </c>
      <c r="F50" s="131" t="s">
        <v>1507</v>
      </c>
      <c r="M50" s="131" t="s">
        <v>1508</v>
      </c>
      <c r="N50" s="131" t="s">
        <v>1467</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1101</v>
      </c>
      <c r="B51" s="131" t="s">
        <v>1507</v>
      </c>
      <c r="C51" s="131" t="s">
        <v>1083</v>
      </c>
      <c r="D51" s="131" t="s">
        <v>1553</v>
      </c>
      <c r="E51" s="131" t="s">
        <v>1505</v>
      </c>
      <c r="F51" s="131" t="s">
        <v>1507</v>
      </c>
      <c r="M51" s="131" t="s">
        <v>1508</v>
      </c>
      <c r="N51" s="131" t="s">
        <v>1467</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1101</v>
      </c>
      <c r="B52" s="131" t="s">
        <v>1509</v>
      </c>
      <c r="C52" s="131" t="s">
        <v>1083</v>
      </c>
      <c r="D52" s="131" t="s">
        <v>1553</v>
      </c>
      <c r="E52" s="131" t="s">
        <v>1505</v>
      </c>
      <c r="F52" s="131" t="s">
        <v>1509</v>
      </c>
      <c r="M52" s="131" t="s">
        <v>1510</v>
      </c>
      <c r="N52" s="131" t="s">
        <v>1467</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1101</v>
      </c>
      <c r="B53" s="131" t="s">
        <v>1509</v>
      </c>
      <c r="C53" s="131" t="s">
        <v>1083</v>
      </c>
      <c r="D53" s="131" t="s">
        <v>1553</v>
      </c>
      <c r="E53" s="131" t="s">
        <v>1505</v>
      </c>
      <c r="F53" s="131" t="s">
        <v>1509</v>
      </c>
      <c r="M53" s="131" t="s">
        <v>1510</v>
      </c>
      <c r="N53" s="131" t="s">
        <v>1467</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1101</v>
      </c>
      <c r="B54" s="131" t="s">
        <v>1511</v>
      </c>
      <c r="C54" s="131" t="s">
        <v>1083</v>
      </c>
      <c r="D54" s="131" t="s">
        <v>1553</v>
      </c>
      <c r="E54" s="131" t="s">
        <v>1505</v>
      </c>
      <c r="F54" s="131" t="s">
        <v>1511</v>
      </c>
      <c r="M54" s="131" t="s">
        <v>1512</v>
      </c>
      <c r="N54" s="131" t="s">
        <v>1467</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1101</v>
      </c>
      <c r="B55" s="131" t="s">
        <v>1511</v>
      </c>
      <c r="C55" s="131" t="s">
        <v>1083</v>
      </c>
      <c r="D55" s="131" t="s">
        <v>1553</v>
      </c>
      <c r="E55" s="131" t="s">
        <v>1505</v>
      </c>
      <c r="F55" s="131" t="s">
        <v>1511</v>
      </c>
      <c r="M55" s="131" t="s">
        <v>1512</v>
      </c>
      <c r="N55" s="131" t="s">
        <v>1467</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1101</v>
      </c>
      <c r="B56" s="131" t="s">
        <v>1511</v>
      </c>
      <c r="C56" s="131" t="s">
        <v>1083</v>
      </c>
      <c r="D56" s="131" t="s">
        <v>1553</v>
      </c>
      <c r="E56" s="131" t="s">
        <v>1505</v>
      </c>
      <c r="F56" s="131" t="s">
        <v>1511</v>
      </c>
      <c r="M56" s="131" t="s">
        <v>1512</v>
      </c>
      <c r="N56" s="131" t="s">
        <v>1467</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1100</v>
      </c>
      <c r="B57" s="131" t="s">
        <v>1513</v>
      </c>
      <c r="C57" s="131" t="s">
        <v>1083</v>
      </c>
      <c r="D57" s="131" t="s">
        <v>1553</v>
      </c>
      <c r="E57" s="131" t="s">
        <v>1513</v>
      </c>
      <c r="M57" s="131" t="s">
        <v>1514</v>
      </c>
      <c r="N57" s="131" t="s">
        <v>1467</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1101</v>
      </c>
      <c r="B58" s="131" t="s">
        <v>1517</v>
      </c>
      <c r="C58" s="131" t="s">
        <v>1083</v>
      </c>
      <c r="D58" s="131" t="s">
        <v>1554</v>
      </c>
      <c r="E58" s="131" t="s">
        <v>1515</v>
      </c>
      <c r="F58" s="131" t="s">
        <v>1517</v>
      </c>
      <c r="M58" s="131" t="s">
        <v>1518</v>
      </c>
      <c r="N58" s="131" t="s">
        <v>1467</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1103</v>
      </c>
      <c r="B59" s="131" t="s">
        <v>1522</v>
      </c>
      <c r="C59" s="131" t="s">
        <v>1083</v>
      </c>
      <c r="D59" s="131" t="s">
        <v>1554</v>
      </c>
      <c r="E59" s="131" t="s">
        <v>1515</v>
      </c>
      <c r="F59" s="131" t="s">
        <v>1519</v>
      </c>
      <c r="G59" s="131" t="s">
        <v>1521</v>
      </c>
      <c r="H59" s="131" t="s">
        <v>1522</v>
      </c>
      <c r="M59" s="131" t="s">
        <v>1523</v>
      </c>
      <c r="N59" s="131" t="s">
        <v>1467</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1103</v>
      </c>
      <c r="B60" s="131" t="s">
        <v>1524</v>
      </c>
      <c r="C60" s="131" t="s">
        <v>1083</v>
      </c>
      <c r="D60" s="131" t="s">
        <v>1554</v>
      </c>
      <c r="E60" s="131" t="s">
        <v>1515</v>
      </c>
      <c r="F60" s="131" t="s">
        <v>1519</v>
      </c>
      <c r="G60" s="131" t="s">
        <v>1521</v>
      </c>
      <c r="H60" s="131" t="s">
        <v>1524</v>
      </c>
      <c r="M60" s="131" t="s">
        <v>1525</v>
      </c>
      <c r="N60" s="131" t="s">
        <v>1467</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1103</v>
      </c>
      <c r="B61" s="131" t="s">
        <v>1526</v>
      </c>
      <c r="C61" s="131" t="s">
        <v>1083</v>
      </c>
      <c r="D61" s="131" t="s">
        <v>1554</v>
      </c>
      <c r="E61" s="131" t="s">
        <v>1515</v>
      </c>
      <c r="F61" s="131" t="s">
        <v>1519</v>
      </c>
      <c r="G61" s="131" t="s">
        <v>1521</v>
      </c>
      <c r="H61" s="131" t="s">
        <v>1526</v>
      </c>
      <c r="M61" s="131" t="s">
        <v>1527</v>
      </c>
      <c r="N61" s="131" t="s">
        <v>1467</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1103</v>
      </c>
      <c r="B62" s="131" t="s">
        <v>1526</v>
      </c>
      <c r="C62" s="131" t="s">
        <v>1083</v>
      </c>
      <c r="D62" s="131" t="s">
        <v>1554</v>
      </c>
      <c r="E62" s="131" t="s">
        <v>1515</v>
      </c>
      <c r="F62" s="131" t="s">
        <v>1519</v>
      </c>
      <c r="G62" s="131" t="s">
        <v>1521</v>
      </c>
      <c r="H62" s="131" t="s">
        <v>1526</v>
      </c>
      <c r="M62" s="131" t="s">
        <v>1527</v>
      </c>
      <c r="N62" s="131" t="s">
        <v>1467</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1102</v>
      </c>
      <c r="B63" s="131" t="s">
        <v>1528</v>
      </c>
      <c r="C63" s="131" t="s">
        <v>1083</v>
      </c>
      <c r="D63" s="131" t="s">
        <v>1554</v>
      </c>
      <c r="E63" s="131" t="s">
        <v>1515</v>
      </c>
      <c r="F63" s="131" t="s">
        <v>1519</v>
      </c>
      <c r="G63" s="131" t="s">
        <v>1528</v>
      </c>
      <c r="M63" s="131" t="s">
        <v>1529</v>
      </c>
      <c r="N63" s="131" t="s">
        <v>1467</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1102</v>
      </c>
      <c r="B64" s="131" t="s">
        <v>1528</v>
      </c>
      <c r="C64" s="131" t="s">
        <v>1083</v>
      </c>
      <c r="D64" s="131" t="s">
        <v>1554</v>
      </c>
      <c r="E64" s="131" t="s">
        <v>1515</v>
      </c>
      <c r="F64" s="131" t="s">
        <v>1519</v>
      </c>
      <c r="G64" s="131" t="s">
        <v>1528</v>
      </c>
      <c r="M64" s="131" t="s">
        <v>1529</v>
      </c>
      <c r="N64" s="131" t="s">
        <v>1467</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1102</v>
      </c>
      <c r="B65" s="131" t="s">
        <v>1528</v>
      </c>
      <c r="C65" s="131" t="s">
        <v>1083</v>
      </c>
      <c r="D65" s="131" t="s">
        <v>1554</v>
      </c>
      <c r="E65" s="131" t="s">
        <v>1515</v>
      </c>
      <c r="F65" s="131" t="s">
        <v>1519</v>
      </c>
      <c r="G65" s="131" t="s">
        <v>1528</v>
      </c>
      <c r="M65" s="131" t="s">
        <v>1529</v>
      </c>
      <c r="N65" s="131" t="s">
        <v>1467</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1102</v>
      </c>
      <c r="B66" s="131" t="s">
        <v>1528</v>
      </c>
      <c r="C66" s="131" t="s">
        <v>1083</v>
      </c>
      <c r="D66" s="131" t="s">
        <v>1554</v>
      </c>
      <c r="E66" s="131" t="s">
        <v>1515</v>
      </c>
      <c r="F66" s="131" t="s">
        <v>1519</v>
      </c>
      <c r="G66" s="131" t="s">
        <v>1528</v>
      </c>
      <c r="M66" s="131" t="s">
        <v>1529</v>
      </c>
      <c r="N66" s="131" t="s">
        <v>1467</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1102</v>
      </c>
      <c r="B67" s="131" t="s">
        <v>1528</v>
      </c>
      <c r="C67" s="131" t="s">
        <v>1083</v>
      </c>
      <c r="D67" s="131" t="s">
        <v>1554</v>
      </c>
      <c r="E67" s="131" t="s">
        <v>1515</v>
      </c>
      <c r="F67" s="131" t="s">
        <v>1519</v>
      </c>
      <c r="G67" s="131" t="s">
        <v>1528</v>
      </c>
      <c r="M67" s="131" t="s">
        <v>1529</v>
      </c>
      <c r="N67" s="131" t="s">
        <v>1467</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1102</v>
      </c>
      <c r="B68" s="131" t="s">
        <v>1528</v>
      </c>
      <c r="C68" s="131" t="s">
        <v>1083</v>
      </c>
      <c r="D68" s="131" t="s">
        <v>1554</v>
      </c>
      <c r="E68" s="131" t="s">
        <v>1515</v>
      </c>
      <c r="F68" s="131" t="s">
        <v>1519</v>
      </c>
      <c r="G68" s="131" t="s">
        <v>1528</v>
      </c>
      <c r="M68" s="131" t="s">
        <v>1529</v>
      </c>
      <c r="N68" s="131" t="s">
        <v>1467</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1102</v>
      </c>
      <c r="B69" s="131" t="s">
        <v>1528</v>
      </c>
      <c r="C69" s="131" t="s">
        <v>1083</v>
      </c>
      <c r="D69" s="131" t="s">
        <v>1554</v>
      </c>
      <c r="E69" s="131" t="s">
        <v>1515</v>
      </c>
      <c r="F69" s="131" t="s">
        <v>1519</v>
      </c>
      <c r="G69" s="131" t="s">
        <v>1528</v>
      </c>
      <c r="M69" s="131" t="s">
        <v>1529</v>
      </c>
      <c r="N69" s="131" t="s">
        <v>1467</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1102</v>
      </c>
      <c r="B70" s="131" t="s">
        <v>1528</v>
      </c>
      <c r="C70" s="131" t="s">
        <v>1083</v>
      </c>
      <c r="D70" s="131" t="s">
        <v>1554</v>
      </c>
      <c r="E70" s="131" t="s">
        <v>1515</v>
      </c>
      <c r="F70" s="131" t="s">
        <v>1519</v>
      </c>
      <c r="G70" s="131" t="s">
        <v>1528</v>
      </c>
      <c r="M70" s="131" t="s">
        <v>1529</v>
      </c>
      <c r="N70" s="131" t="s">
        <v>1467</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1102</v>
      </c>
      <c r="B71" s="131" t="s">
        <v>1528</v>
      </c>
      <c r="C71" s="131" t="s">
        <v>1083</v>
      </c>
      <c r="D71" s="131" t="s">
        <v>1554</v>
      </c>
      <c r="E71" s="131" t="s">
        <v>1515</v>
      </c>
      <c r="F71" s="131" t="s">
        <v>1519</v>
      </c>
      <c r="G71" s="131" t="s">
        <v>1528</v>
      </c>
      <c r="M71" s="131" t="s">
        <v>1529</v>
      </c>
      <c r="N71" s="131" t="s">
        <v>1467</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1102</v>
      </c>
      <c r="B72" s="131" t="s">
        <v>1530</v>
      </c>
      <c r="C72" s="131" t="s">
        <v>1083</v>
      </c>
      <c r="D72" s="131" t="s">
        <v>1554</v>
      </c>
      <c r="E72" s="131" t="s">
        <v>1515</v>
      </c>
      <c r="F72" s="131" t="s">
        <v>1519</v>
      </c>
      <c r="G72" s="131" t="s">
        <v>1530</v>
      </c>
      <c r="M72" s="131" t="s">
        <v>1531</v>
      </c>
      <c r="N72" s="131" t="s">
        <v>1467</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1102</v>
      </c>
      <c r="B73" s="131" t="s">
        <v>1530</v>
      </c>
      <c r="C73" s="131" t="s">
        <v>1083</v>
      </c>
      <c r="D73" s="131" t="s">
        <v>1554</v>
      </c>
      <c r="E73" s="131" t="s">
        <v>1515</v>
      </c>
      <c r="F73" s="131" t="s">
        <v>1519</v>
      </c>
      <c r="G73" s="131" t="s">
        <v>1530</v>
      </c>
      <c r="M73" s="131" t="s">
        <v>1531</v>
      </c>
      <c r="N73" s="131" t="s">
        <v>1467</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1102</v>
      </c>
      <c r="B74" s="131" t="s">
        <v>1530</v>
      </c>
      <c r="C74" s="131" t="s">
        <v>1083</v>
      </c>
      <c r="D74" s="131" t="s">
        <v>1554</v>
      </c>
      <c r="E74" s="131" t="s">
        <v>1515</v>
      </c>
      <c r="F74" s="131" t="s">
        <v>1519</v>
      </c>
      <c r="G74" s="131" t="s">
        <v>1530</v>
      </c>
      <c r="M74" s="131" t="s">
        <v>1531</v>
      </c>
      <c r="N74" s="131" t="s">
        <v>1467</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1102</v>
      </c>
      <c r="B75" s="131" t="s">
        <v>1530</v>
      </c>
      <c r="C75" s="131" t="s">
        <v>1083</v>
      </c>
      <c r="D75" s="131" t="s">
        <v>1554</v>
      </c>
      <c r="E75" s="131" t="s">
        <v>1515</v>
      </c>
      <c r="F75" s="131" t="s">
        <v>1519</v>
      </c>
      <c r="G75" s="131" t="s">
        <v>1530</v>
      </c>
      <c r="M75" s="131" t="s">
        <v>1531</v>
      </c>
      <c r="N75" s="131" t="s">
        <v>1467</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1102</v>
      </c>
      <c r="B76" s="131" t="s">
        <v>1530</v>
      </c>
      <c r="C76" s="131" t="s">
        <v>1083</v>
      </c>
      <c r="D76" s="131" t="s">
        <v>1554</v>
      </c>
      <c r="E76" s="131" t="s">
        <v>1515</v>
      </c>
      <c r="F76" s="131" t="s">
        <v>1519</v>
      </c>
      <c r="G76" s="131" t="s">
        <v>1530</v>
      </c>
      <c r="M76" s="131" t="s">
        <v>1531</v>
      </c>
      <c r="N76" s="131" t="s">
        <v>1467</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1102</v>
      </c>
      <c r="B77" s="131" t="s">
        <v>1530</v>
      </c>
      <c r="C77" s="131" t="s">
        <v>1083</v>
      </c>
      <c r="D77" s="131" t="s">
        <v>1554</v>
      </c>
      <c r="E77" s="131" t="s">
        <v>1515</v>
      </c>
      <c r="F77" s="131" t="s">
        <v>1519</v>
      </c>
      <c r="G77" s="131" t="s">
        <v>1530</v>
      </c>
      <c r="M77" s="131" t="s">
        <v>1531</v>
      </c>
      <c r="N77" s="131" t="s">
        <v>1467</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1102</v>
      </c>
      <c r="B78" s="131" t="s">
        <v>1530</v>
      </c>
      <c r="C78" s="131" t="s">
        <v>1083</v>
      </c>
      <c r="D78" s="131" t="s">
        <v>1554</v>
      </c>
      <c r="E78" s="131" t="s">
        <v>1515</v>
      </c>
      <c r="F78" s="131" t="s">
        <v>1519</v>
      </c>
      <c r="G78" s="131" t="s">
        <v>1530</v>
      </c>
      <c r="M78" s="131" t="s">
        <v>1531</v>
      </c>
      <c r="N78" s="131" t="s">
        <v>1467</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1102</v>
      </c>
      <c r="B79" s="131" t="s">
        <v>1530</v>
      </c>
      <c r="C79" s="131" t="s">
        <v>1083</v>
      </c>
      <c r="D79" s="131" t="s">
        <v>1554</v>
      </c>
      <c r="E79" s="131" t="s">
        <v>1515</v>
      </c>
      <c r="F79" s="131" t="s">
        <v>1519</v>
      </c>
      <c r="G79" s="131" t="s">
        <v>1530</v>
      </c>
      <c r="M79" s="131" t="s">
        <v>1531</v>
      </c>
      <c r="N79" s="131" t="s">
        <v>1467</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1102</v>
      </c>
      <c r="B80" s="131" t="s">
        <v>1530</v>
      </c>
      <c r="C80" s="131" t="s">
        <v>1083</v>
      </c>
      <c r="D80" s="131" t="s">
        <v>1554</v>
      </c>
      <c r="E80" s="131" t="s">
        <v>1515</v>
      </c>
      <c r="F80" s="131" t="s">
        <v>1519</v>
      </c>
      <c r="G80" s="131" t="s">
        <v>1530</v>
      </c>
      <c r="M80" s="131" t="s">
        <v>1531</v>
      </c>
      <c r="N80" s="131" t="s">
        <v>1467</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1102</v>
      </c>
      <c r="B81" s="131" t="s">
        <v>1532</v>
      </c>
      <c r="C81" s="131" t="s">
        <v>1083</v>
      </c>
      <c r="D81" s="131" t="s">
        <v>1554</v>
      </c>
      <c r="E81" s="131" t="s">
        <v>1515</v>
      </c>
      <c r="F81" s="131" t="s">
        <v>1519</v>
      </c>
      <c r="G81" s="131" t="s">
        <v>1532</v>
      </c>
      <c r="M81" s="131" t="s">
        <v>1533</v>
      </c>
      <c r="N81" s="131" t="s">
        <v>1467</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1102</v>
      </c>
      <c r="B82" s="131" t="s">
        <v>1532</v>
      </c>
      <c r="C82" s="131" t="s">
        <v>1083</v>
      </c>
      <c r="D82" s="131" t="s">
        <v>1554</v>
      </c>
      <c r="E82" s="131" t="s">
        <v>1515</v>
      </c>
      <c r="F82" s="131" t="s">
        <v>1519</v>
      </c>
      <c r="G82" s="131" t="s">
        <v>1532</v>
      </c>
      <c r="M82" s="131" t="s">
        <v>1533</v>
      </c>
      <c r="N82" s="131" t="s">
        <v>1467</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1102</v>
      </c>
      <c r="B83" s="131" t="s">
        <v>1532</v>
      </c>
      <c r="C83" s="131" t="s">
        <v>1083</v>
      </c>
      <c r="D83" s="131" t="s">
        <v>1554</v>
      </c>
      <c r="E83" s="131" t="s">
        <v>1515</v>
      </c>
      <c r="F83" s="131" t="s">
        <v>1519</v>
      </c>
      <c r="G83" s="131" t="s">
        <v>1532</v>
      </c>
      <c r="M83" s="131" t="s">
        <v>1533</v>
      </c>
      <c r="N83" s="131" t="s">
        <v>1467</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1102</v>
      </c>
      <c r="B84" s="131" t="s">
        <v>1532</v>
      </c>
      <c r="C84" s="131" t="s">
        <v>1083</v>
      </c>
      <c r="D84" s="131" t="s">
        <v>1554</v>
      </c>
      <c r="E84" s="131" t="s">
        <v>1515</v>
      </c>
      <c r="F84" s="131" t="s">
        <v>1519</v>
      </c>
      <c r="G84" s="131" t="s">
        <v>1532</v>
      </c>
      <c r="M84" s="131" t="s">
        <v>1533</v>
      </c>
      <c r="N84" s="131" t="s">
        <v>1467</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1102</v>
      </c>
      <c r="B85" s="131" t="s">
        <v>1532</v>
      </c>
      <c r="C85" s="131" t="s">
        <v>1083</v>
      </c>
      <c r="D85" s="131" t="s">
        <v>1554</v>
      </c>
      <c r="E85" s="131" t="s">
        <v>1515</v>
      </c>
      <c r="F85" s="131" t="s">
        <v>1519</v>
      </c>
      <c r="G85" s="131" t="s">
        <v>1532</v>
      </c>
      <c r="M85" s="131" t="s">
        <v>1533</v>
      </c>
      <c r="N85" s="131" t="s">
        <v>1467</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1102</v>
      </c>
      <c r="B86" s="131" t="s">
        <v>1532</v>
      </c>
      <c r="C86" s="131" t="s">
        <v>1083</v>
      </c>
      <c r="D86" s="131" t="s">
        <v>1554</v>
      </c>
      <c r="E86" s="131" t="s">
        <v>1515</v>
      </c>
      <c r="F86" s="131" t="s">
        <v>1519</v>
      </c>
      <c r="G86" s="131" t="s">
        <v>1532</v>
      </c>
      <c r="M86" s="131" t="s">
        <v>1533</v>
      </c>
      <c r="N86" s="131" t="s">
        <v>1467</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1102</v>
      </c>
      <c r="B87" s="131" t="s">
        <v>1532</v>
      </c>
      <c r="C87" s="131" t="s">
        <v>1083</v>
      </c>
      <c r="D87" s="131" t="s">
        <v>1554</v>
      </c>
      <c r="E87" s="131" t="s">
        <v>1515</v>
      </c>
      <c r="F87" s="131" t="s">
        <v>1519</v>
      </c>
      <c r="G87" s="131" t="s">
        <v>1532</v>
      </c>
      <c r="M87" s="131" t="s">
        <v>1533</v>
      </c>
      <c r="N87" s="131" t="s">
        <v>1467</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1101</v>
      </c>
      <c r="B88" s="131" t="s">
        <v>1535</v>
      </c>
      <c r="C88" s="131" t="s">
        <v>1083</v>
      </c>
      <c r="D88" s="131" t="s">
        <v>1554</v>
      </c>
      <c r="E88" s="131" t="s">
        <v>1534</v>
      </c>
      <c r="F88" s="131" t="s">
        <v>1535</v>
      </c>
      <c r="M88" s="131" t="s">
        <v>1536</v>
      </c>
      <c r="N88" s="131" t="s">
        <v>1467</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1101</v>
      </c>
      <c r="B89" s="131" t="s">
        <v>1535</v>
      </c>
      <c r="C89" s="131" t="s">
        <v>1083</v>
      </c>
      <c r="D89" s="131" t="s">
        <v>1554</v>
      </c>
      <c r="E89" s="131" t="s">
        <v>1534</v>
      </c>
      <c r="F89" s="131" t="s">
        <v>1535</v>
      </c>
      <c r="M89" s="131" t="s">
        <v>1536</v>
      </c>
      <c r="N89" s="131" t="s">
        <v>1467</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1101</v>
      </c>
      <c r="B90" s="131" t="s">
        <v>1535</v>
      </c>
      <c r="C90" s="131" t="s">
        <v>1083</v>
      </c>
      <c r="D90" s="131" t="s">
        <v>1554</v>
      </c>
      <c r="E90" s="131" t="s">
        <v>1534</v>
      </c>
      <c r="F90" s="131" t="s">
        <v>1535</v>
      </c>
      <c r="M90" s="131" t="s">
        <v>1536</v>
      </c>
      <c r="N90" s="131" t="s">
        <v>1467</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1101</v>
      </c>
      <c r="B91" s="131" t="s">
        <v>1537</v>
      </c>
      <c r="C91" s="131" t="s">
        <v>1083</v>
      </c>
      <c r="D91" s="131" t="s">
        <v>1554</v>
      </c>
      <c r="E91" s="131" t="s">
        <v>1534</v>
      </c>
      <c r="F91" s="131" t="s">
        <v>1537</v>
      </c>
      <c r="M91" s="131" t="s">
        <v>1538</v>
      </c>
      <c r="N91" s="131" t="s">
        <v>1467</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1101</v>
      </c>
      <c r="B92" s="131" t="s">
        <v>1541</v>
      </c>
      <c r="C92" s="131" t="s">
        <v>1083</v>
      </c>
      <c r="D92" s="131" t="s">
        <v>1555</v>
      </c>
      <c r="E92" s="131" t="s">
        <v>1540</v>
      </c>
      <c r="F92" s="131" t="s">
        <v>1541</v>
      </c>
      <c r="M92" s="131" t="s">
        <v>1542</v>
      </c>
      <c r="N92" s="131" t="s">
        <v>1467</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1101</v>
      </c>
      <c r="B93" s="131" t="s">
        <v>1544</v>
      </c>
      <c r="C93" s="131" t="s">
        <v>1083</v>
      </c>
      <c r="D93" s="131" t="s">
        <v>1555</v>
      </c>
      <c r="E93" s="131" t="s">
        <v>1543</v>
      </c>
      <c r="F93" s="131" t="s">
        <v>1544</v>
      </c>
      <c r="M93" s="131" t="s">
        <v>1545</v>
      </c>
      <c r="N93" s="131" t="s">
        <v>1467</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1101</v>
      </c>
      <c r="B94" s="131" t="s">
        <v>1546</v>
      </c>
      <c r="C94" s="131" t="s">
        <v>1083</v>
      </c>
      <c r="D94" s="131" t="s">
        <v>1555</v>
      </c>
      <c r="E94" s="131" t="s">
        <v>1543</v>
      </c>
      <c r="F94" s="131" t="s">
        <v>1546</v>
      </c>
      <c r="M94" s="131" t="s">
        <v>1547</v>
      </c>
      <c r="N94" s="131" t="s">
        <v>1467</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1101</v>
      </c>
      <c r="B95" s="131" t="s">
        <v>1548</v>
      </c>
      <c r="C95" s="131" t="s">
        <v>1083</v>
      </c>
      <c r="D95" s="131" t="s">
        <v>1555</v>
      </c>
      <c r="E95" s="131" t="s">
        <v>1543</v>
      </c>
      <c r="F95" s="131" t="s">
        <v>1548</v>
      </c>
      <c r="M95" s="131" t="s">
        <v>1549</v>
      </c>
      <c r="N95" s="131" t="s">
        <v>1467</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1101</v>
      </c>
      <c r="B96" s="131" t="s">
        <v>1550</v>
      </c>
      <c r="C96" s="131" t="s">
        <v>1083</v>
      </c>
      <c r="D96" s="131" t="s">
        <v>1555</v>
      </c>
      <c r="E96" s="131" t="s">
        <v>1543</v>
      </c>
      <c r="F96" s="131" t="s">
        <v>1550</v>
      </c>
      <c r="M96" s="131" t="s">
        <v>1551</v>
      </c>
      <c r="N96" s="131" t="s">
        <v>1467</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970</v>
      </c>
      <c r="B1" s="94" t="s">
        <v>973</v>
      </c>
      <c r="C1" s="94" t="s">
        <v>971</v>
      </c>
      <c r="D1" s="94" t="s">
        <v>1304</v>
      </c>
      <c r="E1" s="94" t="s">
        <v>969</v>
      </c>
      <c r="F1" s="94" t="s">
        <v>341</v>
      </c>
      <c r="G1" s="94" t="s">
        <v>1280</v>
      </c>
      <c r="H1" s="94" t="s">
        <v>529</v>
      </c>
      <c r="I1" s="137" t="s">
        <v>1406</v>
      </c>
      <c r="J1" s="137" t="s">
        <v>554</v>
      </c>
      <c r="K1" s="137" t="s">
        <v>1305</v>
      </c>
      <c r="L1" s="94" t="s">
        <v>123</v>
      </c>
      <c r="M1" s="94" t="s">
        <v>1405</v>
      </c>
      <c r="N1" s="137" t="s">
        <v>1409</v>
      </c>
      <c r="O1" s="94" t="s">
        <v>564</v>
      </c>
      <c r="P1" s="94" t="s">
        <v>565</v>
      </c>
      <c r="Q1" s="94" t="s">
        <v>566</v>
      </c>
      <c r="R1" s="94" t="s">
        <v>567</v>
      </c>
      <c r="S1" s="94" t="s">
        <v>568</v>
      </c>
      <c r="T1" s="94" t="s">
        <v>569</v>
      </c>
      <c r="U1" s="94" t="s">
        <v>570</v>
      </c>
      <c r="V1" s="94" t="s">
        <v>530</v>
      </c>
      <c r="W1" s="94" t="s">
        <v>1279</v>
      </c>
      <c r="X1" s="94" t="s">
        <v>531</v>
      </c>
      <c r="Y1" s="94" t="s">
        <v>768</v>
      </c>
      <c r="Z1" s="94" t="s">
        <v>595</v>
      </c>
    </row>
    <row r="2" spans="1:26">
      <c r="A2" s="212"/>
      <c r="B2" t="s">
        <v>1282</v>
      </c>
      <c r="C2" t="s">
        <v>1129</v>
      </c>
      <c r="D2" t="s">
        <v>1019</v>
      </c>
      <c r="E2">
        <v>1</v>
      </c>
      <c r="F2" t="s">
        <v>1019</v>
      </c>
      <c r="G2" t="s">
        <v>1283</v>
      </c>
      <c r="I2" s="83">
        <v>44340</v>
      </c>
      <c r="J2" s="83">
        <v>44407</v>
      </c>
      <c r="Y2">
        <v>0</v>
      </c>
      <c r="Z2">
        <v>0</v>
      </c>
    </row>
    <row r="3" spans="1:26">
      <c r="B3" s="83">
        <v>44317</v>
      </c>
      <c r="C3" t="s">
        <v>1130</v>
      </c>
      <c r="D3" t="s">
        <v>1083</v>
      </c>
      <c r="E3">
        <v>2</v>
      </c>
      <c r="F3" t="s">
        <v>1093</v>
      </c>
      <c r="G3" t="s">
        <v>646</v>
      </c>
      <c r="I3" s="83">
        <v>44340</v>
      </c>
      <c r="J3" s="83">
        <v>44344</v>
      </c>
      <c r="Y3">
        <v>0</v>
      </c>
      <c r="Z3">
        <v>0</v>
      </c>
    </row>
    <row r="4" spans="1:26">
      <c r="B4" s="83">
        <v>44439</v>
      </c>
      <c r="C4" t="s">
        <v>1131</v>
      </c>
      <c r="D4" t="s">
        <v>1100</v>
      </c>
      <c r="E4">
        <v>3</v>
      </c>
      <c r="F4" t="s">
        <v>1094</v>
      </c>
      <c r="G4" t="s">
        <v>1284</v>
      </c>
      <c r="I4" s="83">
        <v>44340</v>
      </c>
      <c r="J4" s="83">
        <v>44343</v>
      </c>
      <c r="W4" t="s">
        <v>1285</v>
      </c>
      <c r="Y4" s="84">
        <v>1</v>
      </c>
      <c r="Z4" s="84">
        <v>1</v>
      </c>
    </row>
    <row r="5" spans="1:26">
      <c r="B5" s="84">
        <v>0.45</v>
      </c>
      <c r="C5" t="s">
        <v>1132</v>
      </c>
      <c r="D5" t="s">
        <v>1101</v>
      </c>
      <c r="E5">
        <v>3</v>
      </c>
      <c r="F5" t="s">
        <v>1095</v>
      </c>
      <c r="G5" t="s">
        <v>1286</v>
      </c>
      <c r="I5" s="83">
        <v>44344</v>
      </c>
      <c r="J5" s="83">
        <v>44344</v>
      </c>
      <c r="K5" s="83" t="s">
        <v>1306</v>
      </c>
      <c r="N5" s="83" t="s">
        <v>1306</v>
      </c>
      <c r="R5" s="83"/>
      <c r="Y5" s="84">
        <v>1</v>
      </c>
      <c r="Z5" s="84">
        <v>1</v>
      </c>
    </row>
    <row r="6" spans="1:26">
      <c r="B6" s="93">
        <v>0.43330000000000002</v>
      </c>
      <c r="C6" t="s">
        <v>1133</v>
      </c>
      <c r="D6" t="s">
        <v>1102</v>
      </c>
      <c r="E6">
        <v>3</v>
      </c>
      <c r="F6" t="s">
        <v>1116</v>
      </c>
      <c r="G6" t="s">
        <v>1114</v>
      </c>
      <c r="I6" s="83">
        <v>44340</v>
      </c>
      <c r="J6" s="83">
        <v>44342</v>
      </c>
      <c r="W6" t="s">
        <v>1287</v>
      </c>
      <c r="Y6">
        <v>0</v>
      </c>
      <c r="Z6">
        <v>0</v>
      </c>
    </row>
    <row r="7" spans="1:26">
      <c r="C7" t="s">
        <v>1134</v>
      </c>
      <c r="D7" t="s">
        <v>1103</v>
      </c>
      <c r="E7">
        <v>3</v>
      </c>
      <c r="F7" t="s">
        <v>1117</v>
      </c>
      <c r="G7" t="s">
        <v>1115</v>
      </c>
      <c r="I7" s="83">
        <v>44343</v>
      </c>
      <c r="J7" s="83">
        <v>44344</v>
      </c>
      <c r="W7" t="s">
        <v>1287</v>
      </c>
      <c r="Y7">
        <v>0</v>
      </c>
      <c r="Z7">
        <v>0</v>
      </c>
    </row>
    <row r="8" spans="1:26">
      <c r="C8" t="s">
        <v>1135</v>
      </c>
      <c r="D8" t="s">
        <v>1104</v>
      </c>
      <c r="E8">
        <v>2</v>
      </c>
      <c r="F8" t="s">
        <v>1096</v>
      </c>
      <c r="G8" t="s">
        <v>1288</v>
      </c>
      <c r="I8" s="83">
        <v>44347</v>
      </c>
      <c r="J8" s="83">
        <v>44365</v>
      </c>
      <c r="Y8">
        <v>0</v>
      </c>
      <c r="Z8">
        <v>0</v>
      </c>
    </row>
    <row r="9" spans="1:26">
      <c r="C9" t="s">
        <v>1136</v>
      </c>
      <c r="D9" t="s">
        <v>1105</v>
      </c>
      <c r="E9">
        <v>3</v>
      </c>
      <c r="F9" t="s">
        <v>1097</v>
      </c>
      <c r="G9" t="s">
        <v>1289</v>
      </c>
      <c r="I9" s="83">
        <v>44347</v>
      </c>
      <c r="J9" s="83">
        <v>44351</v>
      </c>
      <c r="W9" t="s">
        <v>1290</v>
      </c>
      <c r="Y9">
        <v>0</v>
      </c>
      <c r="Z9">
        <v>0</v>
      </c>
    </row>
    <row r="10" spans="1:26">
      <c r="C10" t="s">
        <v>1137</v>
      </c>
      <c r="D10" t="s">
        <v>1106</v>
      </c>
      <c r="E10">
        <v>3</v>
      </c>
      <c r="F10" t="s">
        <v>1118</v>
      </c>
      <c r="G10" t="s">
        <v>1291</v>
      </c>
      <c r="I10" s="83">
        <v>44354</v>
      </c>
      <c r="J10" s="83">
        <v>44365</v>
      </c>
      <c r="W10" t="s">
        <v>1290</v>
      </c>
      <c r="Y10">
        <v>0</v>
      </c>
      <c r="Z10">
        <v>0</v>
      </c>
    </row>
    <row r="11" spans="1:26">
      <c r="D11" t="s">
        <v>1107</v>
      </c>
      <c r="E11">
        <v>2</v>
      </c>
      <c r="F11" t="s">
        <v>1098</v>
      </c>
      <c r="G11" t="s">
        <v>1292</v>
      </c>
      <c r="I11" s="83">
        <v>44368</v>
      </c>
      <c r="J11" s="83">
        <v>44393</v>
      </c>
      <c r="Y11">
        <v>0</v>
      </c>
      <c r="Z11">
        <v>0</v>
      </c>
    </row>
    <row r="12" spans="1:26">
      <c r="D12" t="s">
        <v>1108</v>
      </c>
      <c r="E12">
        <v>3</v>
      </c>
      <c r="F12" t="s">
        <v>1099</v>
      </c>
      <c r="G12" t="s">
        <v>1293</v>
      </c>
      <c r="I12" s="83">
        <v>44368</v>
      </c>
      <c r="J12" s="83">
        <v>44386</v>
      </c>
      <c r="Y12">
        <v>0</v>
      </c>
      <c r="Z12">
        <v>0</v>
      </c>
    </row>
    <row r="13" spans="1:26">
      <c r="D13" t="s">
        <v>1109</v>
      </c>
      <c r="E13">
        <v>3</v>
      </c>
      <c r="F13" t="s">
        <v>1119</v>
      </c>
      <c r="G13" t="s">
        <v>1294</v>
      </c>
      <c r="I13" s="83">
        <v>44389</v>
      </c>
      <c r="J13" s="83">
        <v>44393</v>
      </c>
      <c r="W13" t="s">
        <v>1295</v>
      </c>
      <c r="Y13">
        <v>0</v>
      </c>
      <c r="Z13">
        <v>0</v>
      </c>
    </row>
    <row r="14" spans="1:26">
      <c r="D14" t="s">
        <v>1110</v>
      </c>
      <c r="E14">
        <v>2</v>
      </c>
      <c r="F14" t="s">
        <v>1120</v>
      </c>
      <c r="G14" t="s">
        <v>1296</v>
      </c>
      <c r="I14" s="83">
        <v>44396</v>
      </c>
      <c r="J14" s="83">
        <v>44407</v>
      </c>
      <c r="Y14">
        <v>0</v>
      </c>
      <c r="Z14">
        <v>0</v>
      </c>
    </row>
    <row r="15" spans="1:26">
      <c r="D15" t="s">
        <v>1111</v>
      </c>
      <c r="E15">
        <v>3</v>
      </c>
      <c r="F15" t="s">
        <v>1121</v>
      </c>
      <c r="G15" t="s">
        <v>1297</v>
      </c>
      <c r="I15" s="83">
        <v>44396</v>
      </c>
      <c r="J15" s="83">
        <v>44400</v>
      </c>
      <c r="W15" t="s">
        <v>1298</v>
      </c>
      <c r="Y15">
        <v>0</v>
      </c>
      <c r="Z15">
        <v>0</v>
      </c>
    </row>
    <row r="16" spans="1:26">
      <c r="D16" t="s">
        <v>1112</v>
      </c>
      <c r="E16">
        <v>3</v>
      </c>
      <c r="F16" t="s">
        <v>1122</v>
      </c>
      <c r="G16" t="s">
        <v>1299</v>
      </c>
      <c r="I16" s="83">
        <v>44403</v>
      </c>
      <c r="J16" s="83">
        <v>44405</v>
      </c>
      <c r="K16" s="83" t="s">
        <v>1307</v>
      </c>
      <c r="N16" s="83" t="s">
        <v>1307</v>
      </c>
      <c r="W16" t="s">
        <v>1300</v>
      </c>
      <c r="Y16">
        <v>0</v>
      </c>
      <c r="Z16">
        <v>0</v>
      </c>
    </row>
    <row r="17" spans="4:26">
      <c r="D17" t="s">
        <v>1113</v>
      </c>
      <c r="E17">
        <v>3</v>
      </c>
      <c r="F17" t="s">
        <v>1123</v>
      </c>
      <c r="G17" t="s">
        <v>1301</v>
      </c>
      <c r="I17" s="83">
        <v>44406</v>
      </c>
      <c r="J17" s="83">
        <v>44407</v>
      </c>
      <c r="W17" t="s">
        <v>1302</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lionking</dc:creator>
  <cp:lastModifiedBy>lionking</cp:lastModifiedBy>
  <cp:lastPrinted>2021-01-01T13:36:29Z</cp:lastPrinted>
  <dcterms:created xsi:type="dcterms:W3CDTF">2018-02-18T09:45:14Z</dcterms:created>
  <dcterms:modified xsi:type="dcterms:W3CDTF">2021-09-30T04:06:49Z</dcterms:modified>
</cp:coreProperties>
</file>